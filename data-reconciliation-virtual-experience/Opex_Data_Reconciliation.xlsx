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oud System" sheetId="1" state="visible" r:id="rId3"/>
    <sheet name="Company Code Summary" sheetId="2" state="visible" r:id="rId4"/>
    <sheet name="Legacy Data" sheetId="3" state="visible" r:id="rId5"/>
    <sheet name="Charts - CC 2000 &amp; 3420" sheetId="4" state="visible" r:id="rId6"/>
  </sheets>
  <definedNames>
    <definedName function="false" hidden="true" localSheetId="0" name="_xlnm._FilterDatabase" vbProcedure="false">'Cloud System'!$B$3:$D$492</definedName>
    <definedName function="false" hidden="true" localSheetId="2" name="_xlnm._FilterDatabase" vbProcedure="false">'Legacy Data'!$A$1:$F$1702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<sst xmlns="http://schemas.openxmlformats.org/spreadsheetml/2006/main" count="4426" uniqueCount="529">
  <si>
    <t xml:space="preserve">Company Code</t>
  </si>
  <si>
    <t xml:space="preserve">G/L Account</t>
  </si>
  <si>
    <t xml:space="preserve"> Ending Balance - August 2019 (AUD)</t>
  </si>
  <si>
    <t xml:space="preserve">Lookup Code</t>
  </si>
  <si>
    <t xml:space="preserve">Legacy Ending Balance (AUD)</t>
  </si>
  <si>
    <t xml:space="preserve">Variance (Legacy - Cloud)</t>
  </si>
  <si>
    <t xml:space="preserve">Reconciled?</t>
  </si>
  <si>
    <t xml:space="preserve">2000</t>
  </si>
  <si>
    <t xml:space="preserve">602000</t>
  </si>
  <si>
    <t xml:space="preserve">602003</t>
  </si>
  <si>
    <t xml:space="preserve">602004</t>
  </si>
  <si>
    <t xml:space="preserve">602005</t>
  </si>
  <si>
    <t xml:space="preserve">602010</t>
  </si>
  <si>
    <t xml:space="preserve">602020</t>
  </si>
  <si>
    <t xml:space="preserve">602030</t>
  </si>
  <si>
    <t xml:space="preserve">602070</t>
  </si>
  <si>
    <t xml:space="preserve">602072</t>
  </si>
  <si>
    <t xml:space="preserve">603000</t>
  </si>
  <si>
    <t xml:space="preserve">910003</t>
  </si>
  <si>
    <t xml:space="preserve">604040</t>
  </si>
  <si>
    <t xml:space="preserve">910001</t>
  </si>
  <si>
    <t xml:space="preserve">604020</t>
  </si>
  <si>
    <t xml:space="preserve">604010</t>
  </si>
  <si>
    <t xml:space="preserve">608020</t>
  </si>
  <si>
    <t xml:space="preserve">609004</t>
  </si>
  <si>
    <t xml:space="preserve">609005</t>
  </si>
  <si>
    <t xml:space="preserve">609006</t>
  </si>
  <si>
    <t xml:space="preserve">609002</t>
  </si>
  <si>
    <t xml:space="preserve">609003</t>
  </si>
  <si>
    <t xml:space="preserve">609009</t>
  </si>
  <si>
    <t xml:space="preserve">609010</t>
  </si>
  <si>
    <t xml:space="preserve">607000</t>
  </si>
  <si>
    <t xml:space="preserve">607010</t>
  </si>
  <si>
    <t xml:space="preserve">604031</t>
  </si>
  <si>
    <t xml:space="preserve">910002</t>
  </si>
  <si>
    <t xml:space="preserve">910004</t>
  </si>
  <si>
    <t xml:space="preserve">2200</t>
  </si>
  <si>
    <t xml:space="preserve">609008</t>
  </si>
  <si>
    <t xml:space="preserve">2500</t>
  </si>
  <si>
    <t xml:space="preserve">609012</t>
  </si>
  <si>
    <t xml:space="preserve">3100</t>
  </si>
  <si>
    <t xml:space="preserve">602002</t>
  </si>
  <si>
    <t xml:space="preserve">602040</t>
  </si>
  <si>
    <t xml:space="preserve">602050</t>
  </si>
  <si>
    <t xml:space="preserve">602060</t>
  </si>
  <si>
    <t xml:space="preserve">602071</t>
  </si>
  <si>
    <t xml:space="preserve">602073</t>
  </si>
  <si>
    <t xml:space="preserve">602074</t>
  </si>
  <si>
    <t xml:space="preserve">602080</t>
  </si>
  <si>
    <t xml:space="preserve">604050</t>
  </si>
  <si>
    <t xml:space="preserve">604060</t>
  </si>
  <si>
    <t xml:space="preserve">605000</t>
  </si>
  <si>
    <t xml:space="preserve">605010</t>
  </si>
  <si>
    <t xml:space="preserve">605020</t>
  </si>
  <si>
    <t xml:space="preserve">606000</t>
  </si>
  <si>
    <t xml:space="preserve">606010</t>
  </si>
  <si>
    <t xml:space="preserve">606020</t>
  </si>
  <si>
    <t xml:space="preserve">606030</t>
  </si>
  <si>
    <t xml:space="preserve">606031</t>
  </si>
  <si>
    <t xml:space="preserve">608010</t>
  </si>
  <si>
    <t xml:space="preserve">608040</t>
  </si>
  <si>
    <t xml:space="preserve">608000</t>
  </si>
  <si>
    <t xml:space="preserve">606040</t>
  </si>
  <si>
    <t xml:space="preserve">609000</t>
  </si>
  <si>
    <t xml:space="preserve">610000</t>
  </si>
  <si>
    <t xml:space="preserve">610001</t>
  </si>
  <si>
    <t xml:space="preserve">610003</t>
  </si>
  <si>
    <t xml:space="preserve">610004</t>
  </si>
  <si>
    <t xml:space="preserve">3150</t>
  </si>
  <si>
    <t xml:space="preserve">3200</t>
  </si>
  <si>
    <t xml:space="preserve">602001</t>
  </si>
  <si>
    <t xml:space="preserve">603001</t>
  </si>
  <si>
    <t xml:space="preserve">609001</t>
  </si>
  <si>
    <t xml:space="preserve">607020</t>
  </si>
  <si>
    <t xml:space="preserve">604030</t>
  </si>
  <si>
    <t xml:space="preserve">607040</t>
  </si>
  <si>
    <t xml:space="preserve">3300</t>
  </si>
  <si>
    <t xml:space="preserve">601052</t>
  </si>
  <si>
    <t xml:space="preserve">604000</t>
  </si>
  <si>
    <t xml:space="preserve">608030</t>
  </si>
  <si>
    <t xml:space="preserve">609007</t>
  </si>
  <si>
    <t xml:space="preserve">609011</t>
  </si>
  <si>
    <t xml:space="preserve">610002</t>
  </si>
  <si>
    <t xml:space="preserve">610005</t>
  </si>
  <si>
    <t xml:space="preserve">3320</t>
  </si>
  <si>
    <t xml:space="preserve">3420</t>
  </si>
  <si>
    <t xml:space="preserve">601050</t>
  </si>
  <si>
    <t xml:space="preserve">601051</t>
  </si>
  <si>
    <t xml:space="preserve">3440</t>
  </si>
  <si>
    <t xml:space="preserve">601053</t>
  </si>
  <si>
    <t xml:space="preserve">601054</t>
  </si>
  <si>
    <t xml:space="preserve">3470</t>
  </si>
  <si>
    <t xml:space="preserve">605030</t>
  </si>
  <si>
    <t xml:space="preserve">605031</t>
  </si>
  <si>
    <t xml:space="preserve">620000</t>
  </si>
  <si>
    <t xml:space="preserve">620001</t>
  </si>
  <si>
    <t xml:space="preserve">620020</t>
  </si>
  <si>
    <t xml:space="preserve">620030</t>
  </si>
  <si>
    <t xml:space="preserve">620040</t>
  </si>
  <si>
    <t xml:space="preserve">3700</t>
  </si>
  <si>
    <t xml:space="preserve">3800</t>
  </si>
  <si>
    <t xml:space="preserve">3900</t>
  </si>
  <si>
    <t xml:space="preserve">604001</t>
  </si>
  <si>
    <t xml:space="preserve">5120</t>
  </si>
  <si>
    <t xml:space="preserve">607030</t>
  </si>
  <si>
    <t xml:space="preserve">5450</t>
  </si>
  <si>
    <t xml:space="preserve">5500</t>
  </si>
  <si>
    <t xml:space="preserve">5510</t>
  </si>
  <si>
    <t xml:space="preserve">Reconciliation Summary</t>
  </si>
  <si>
    <t xml:space="preserve">Total line items checked:</t>
  </si>
  <si>
    <t xml:space="preserve">Items matched (variance = 0):</t>
  </si>
  <si>
    <t xml:space="preserve">Items with variance:</t>
  </si>
  <si>
    <t xml:space="preserve">Items with no legacy match:</t>
  </si>
  <si>
    <t xml:space="preserve">Total absolute variance (AUD):</t>
  </si>
  <si>
    <t xml:space="preserve">Conclusion:</t>
  </si>
  <si>
    <t xml:space="preserve">Opex Report Reconciliation - Summary by Company Code (August 2019)</t>
  </si>
  <si>
    <t xml:space="preserve">Cloud System Total (AUD)</t>
  </si>
  <si>
    <t xml:space="preserve">Legacy System Total (AUD)</t>
  </si>
  <si>
    <t xml:space="preserve">GL Accounts Checked</t>
  </si>
  <si>
    <t xml:space="preserve">Variances Found</t>
  </si>
  <si>
    <t xml:space="preserve">Total</t>
  </si>
  <si>
    <t xml:space="preserve">Ending Balance - August 2019 </t>
  </si>
  <si>
    <t xml:space="preserve">1650</t>
  </si>
  <si>
    <t xml:space="preserve">243000</t>
  </si>
  <si>
    <t xml:space="preserve">243003</t>
  </si>
  <si>
    <t xml:space="preserve">243005</t>
  </si>
  <si>
    <t xml:space="preserve">300002</t>
  </si>
  <si>
    <t xml:space="preserve">320000</t>
  </si>
  <si>
    <t xml:space="preserve">101011</t>
  </si>
  <si>
    <t xml:space="preserve">110098</t>
  </si>
  <si>
    <t xml:space="preserve">113000</t>
  </si>
  <si>
    <t xml:space="preserve">120000</t>
  </si>
  <si>
    <t xml:space="preserve">120040</t>
  </si>
  <si>
    <t xml:space="preserve">140002</t>
  </si>
  <si>
    <t xml:space="preserve">160000</t>
  </si>
  <si>
    <t xml:space="preserve">160100</t>
  </si>
  <si>
    <t xml:space="preserve">160150</t>
  </si>
  <si>
    <t xml:space="preserve">160200</t>
  </si>
  <si>
    <t xml:space="preserve">160201</t>
  </si>
  <si>
    <t xml:space="preserve">160250</t>
  </si>
  <si>
    <t xml:space="preserve">160251</t>
  </si>
  <si>
    <t xml:space="preserve">160302</t>
  </si>
  <si>
    <t xml:space="preserve">160352</t>
  </si>
  <si>
    <t xml:space="preserve">165200</t>
  </si>
  <si>
    <t xml:space="preserve">169999</t>
  </si>
  <si>
    <t xml:space="preserve">193000</t>
  </si>
  <si>
    <t xml:space="preserve">200000</t>
  </si>
  <si>
    <t xml:space="preserve">200004</t>
  </si>
  <si>
    <t xml:space="preserve">200098</t>
  </si>
  <si>
    <t xml:space="preserve">200208</t>
  </si>
  <si>
    <t xml:space="preserve">200302</t>
  </si>
  <si>
    <t xml:space="preserve">201000</t>
  </si>
  <si>
    <t xml:space="preserve">201001</t>
  </si>
  <si>
    <t xml:space="preserve">201203</t>
  </si>
  <si>
    <t xml:space="preserve">201300</t>
  </si>
  <si>
    <t xml:space="preserve">201302</t>
  </si>
  <si>
    <t xml:space="preserve">201400</t>
  </si>
  <si>
    <t xml:space="preserve">204020</t>
  </si>
  <si>
    <t xml:space="preserve">210000</t>
  </si>
  <si>
    <t xml:space="preserve">210002</t>
  </si>
  <si>
    <t xml:space="preserve">220001</t>
  </si>
  <si>
    <t xml:space="preserve">243006</t>
  </si>
  <si>
    <t xml:space="preserve">250000</t>
  </si>
  <si>
    <t xml:space="preserve">250100</t>
  </si>
  <si>
    <t xml:space="preserve">260003</t>
  </si>
  <si>
    <t xml:space="preserve">280000</t>
  </si>
  <si>
    <t xml:space="preserve">501200</t>
  </si>
  <si>
    <t xml:space="preserve">501202</t>
  </si>
  <si>
    <t xml:space="preserve">514001</t>
  </si>
  <si>
    <t xml:space="preserve">601107</t>
  </si>
  <si>
    <t xml:space="preserve">601111</t>
  </si>
  <si>
    <t xml:space="preserve">601113</t>
  </si>
  <si>
    <t xml:space="preserve">601114</t>
  </si>
  <si>
    <t xml:space="preserve">601300</t>
  </si>
  <si>
    <t xml:space="preserve">604900</t>
  </si>
  <si>
    <t xml:space="preserve">630000</t>
  </si>
  <si>
    <t xml:space="preserve">630001</t>
  </si>
  <si>
    <t xml:space="preserve">630002</t>
  </si>
  <si>
    <t xml:space="preserve">630006</t>
  </si>
  <si>
    <t xml:space="preserve">640001</t>
  </si>
  <si>
    <t xml:space="preserve">640100</t>
  </si>
  <si>
    <t xml:space="preserve">640900</t>
  </si>
  <si>
    <t xml:space="preserve">690000</t>
  </si>
  <si>
    <t xml:space="preserve">990000</t>
  </si>
  <si>
    <t xml:space="preserve">990002</t>
  </si>
  <si>
    <t xml:space="preserve">990003</t>
  </si>
  <si>
    <t xml:space="preserve">100950</t>
  </si>
  <si>
    <t xml:space="preserve">101291</t>
  </si>
  <si>
    <t xml:space="preserve">191000</t>
  </si>
  <si>
    <t xml:space="preserve">203000</t>
  </si>
  <si>
    <t xml:space="preserve">203001</t>
  </si>
  <si>
    <t xml:space="preserve">203002</t>
  </si>
  <si>
    <t xml:space="preserve">240000</t>
  </si>
  <si>
    <t xml:space="preserve">243001</t>
  </si>
  <si>
    <t xml:space="preserve">243004</t>
  </si>
  <si>
    <t xml:space="preserve">260002</t>
  </si>
  <si>
    <t xml:space="preserve">300000</t>
  </si>
  <si>
    <t xml:space="preserve">300001</t>
  </si>
  <si>
    <t xml:space="preserve">310002</t>
  </si>
  <si>
    <t xml:space="preserve">311003</t>
  </si>
  <si>
    <t xml:space="preserve">320002</t>
  </si>
  <si>
    <t xml:space="preserve">321000</t>
  </si>
  <si>
    <t xml:space="preserve">511900</t>
  </si>
  <si>
    <t xml:space="preserve">514900</t>
  </si>
  <si>
    <t xml:space="preserve">640300</t>
  </si>
  <si>
    <t xml:space="preserve">101050</t>
  </si>
  <si>
    <t xml:space="preserve">101051</t>
  </si>
  <si>
    <t xml:space="preserve">101110</t>
  </si>
  <si>
    <t xml:space="preserve">101111</t>
  </si>
  <si>
    <t xml:space="preserve">101250</t>
  </si>
  <si>
    <t xml:space="preserve">105000</t>
  </si>
  <si>
    <t xml:space="preserve">130200</t>
  </si>
  <si>
    <t xml:space="preserve">140003</t>
  </si>
  <si>
    <t xml:space="preserve">141000</t>
  </si>
  <si>
    <t xml:space="preserve">180200</t>
  </si>
  <si>
    <t xml:space="preserve">192003</t>
  </si>
  <si>
    <t xml:space="preserve">202000</t>
  </si>
  <si>
    <t xml:space="preserve">202001</t>
  </si>
  <si>
    <t xml:space="preserve">220000</t>
  </si>
  <si>
    <t xml:space="preserve">230200</t>
  </si>
  <si>
    <t xml:space="preserve">260001</t>
  </si>
  <si>
    <t xml:space="preserve">270200</t>
  </si>
  <si>
    <t xml:space="preserve">310001</t>
  </si>
  <si>
    <t xml:space="preserve">511000</t>
  </si>
  <si>
    <t xml:space="preserve">640000</t>
  </si>
  <si>
    <t xml:space="preserve">640200</t>
  </si>
  <si>
    <t xml:space="preserve">640210</t>
  </si>
  <si>
    <t xml:space="preserve">990099</t>
  </si>
  <si>
    <t xml:space="preserve">2600</t>
  </si>
  <si>
    <t xml:space="preserve">190000</t>
  </si>
  <si>
    <t xml:space="preserve">210300</t>
  </si>
  <si>
    <t xml:space="preserve">250200</t>
  </si>
  <si>
    <t xml:space="preserve">321001</t>
  </si>
  <si>
    <t xml:space="preserve">800002</t>
  </si>
  <si>
    <t xml:space="preserve">800003</t>
  </si>
  <si>
    <t xml:space="preserve">800006</t>
  </si>
  <si>
    <t xml:space="preserve">2700</t>
  </si>
  <si>
    <t xml:space="preserve">2800</t>
  </si>
  <si>
    <t xml:space="preserve">2900</t>
  </si>
  <si>
    <t xml:space="preserve">112000</t>
  </si>
  <si>
    <t xml:space="preserve">112001</t>
  </si>
  <si>
    <t xml:space="preserve">140001</t>
  </si>
  <si>
    <t xml:space="preserve">165201</t>
  </si>
  <si>
    <t xml:space="preserve">170200</t>
  </si>
  <si>
    <t xml:space="preserve">170250</t>
  </si>
  <si>
    <t xml:space="preserve">175000</t>
  </si>
  <si>
    <t xml:space="preserve">200007</t>
  </si>
  <si>
    <t xml:space="preserve">200203</t>
  </si>
  <si>
    <t xml:space="preserve">200205</t>
  </si>
  <si>
    <t xml:space="preserve">200206</t>
  </si>
  <si>
    <t xml:space="preserve">200207</t>
  </si>
  <si>
    <t xml:space="preserve">200210</t>
  </si>
  <si>
    <t xml:space="preserve">200301</t>
  </si>
  <si>
    <t xml:space="preserve">201500</t>
  </si>
  <si>
    <t xml:space="preserve">210001</t>
  </si>
  <si>
    <t xml:space="preserve">250001</t>
  </si>
  <si>
    <t xml:space="preserve">502900</t>
  </si>
  <si>
    <t xml:space="preserve">630101</t>
  </si>
  <si>
    <t xml:space="preserve">630200</t>
  </si>
  <si>
    <t xml:space="preserve">200200</t>
  </si>
  <si>
    <t xml:space="preserve">101043</t>
  </si>
  <si>
    <t xml:space="preserve">110050</t>
  </si>
  <si>
    <t xml:space="preserve">110054</t>
  </si>
  <si>
    <t xml:space="preserve">120050</t>
  </si>
  <si>
    <t xml:space="preserve">150000</t>
  </si>
  <si>
    <t xml:space="preserve">150001</t>
  </si>
  <si>
    <t xml:space="preserve">150002</t>
  </si>
  <si>
    <t xml:space="preserve">160203</t>
  </si>
  <si>
    <t xml:space="preserve">160253</t>
  </si>
  <si>
    <t xml:space="preserve">160301</t>
  </si>
  <si>
    <t xml:space="preserve">160351</t>
  </si>
  <si>
    <t xml:space="preserve">165203</t>
  </si>
  <si>
    <t xml:space="preserve">170301</t>
  </si>
  <si>
    <t xml:space="preserve">170351</t>
  </si>
  <si>
    <t xml:space="preserve">194000</t>
  </si>
  <si>
    <t xml:space="preserve">200003</t>
  </si>
  <si>
    <t xml:space="preserve">201010</t>
  </si>
  <si>
    <t xml:space="preserve">201020</t>
  </si>
  <si>
    <t xml:space="preserve">201100</t>
  </si>
  <si>
    <t xml:space="preserve">201202</t>
  </si>
  <si>
    <t xml:space="preserve">204010</t>
  </si>
  <si>
    <t xml:space="preserve">210200</t>
  </si>
  <si>
    <t xml:space="preserve">210201</t>
  </si>
  <si>
    <t xml:space="preserve">241100</t>
  </si>
  <si>
    <t xml:space="preserve">320001</t>
  </si>
  <si>
    <t xml:space="preserve">501000</t>
  </si>
  <si>
    <t xml:space="preserve">501050</t>
  </si>
  <si>
    <t xml:space="preserve">512000</t>
  </si>
  <si>
    <t xml:space="preserve">514000</t>
  </si>
  <si>
    <t xml:space="preserve">601100</t>
  </si>
  <si>
    <t xml:space="preserve">601105</t>
  </si>
  <si>
    <t xml:space="preserve">630003</t>
  </si>
  <si>
    <t xml:space="preserve">630005</t>
  </si>
  <si>
    <t xml:space="preserve">630103</t>
  </si>
  <si>
    <t xml:space="preserve">800000</t>
  </si>
  <si>
    <t xml:space="preserve">800001</t>
  </si>
  <si>
    <t xml:space="preserve">800004</t>
  </si>
  <si>
    <t xml:space="preserve">800005</t>
  </si>
  <si>
    <t xml:space="preserve">140000</t>
  </si>
  <si>
    <t xml:space="preserve">160300</t>
  </si>
  <si>
    <t xml:space="preserve">160350</t>
  </si>
  <si>
    <t xml:space="preserve">165300</t>
  </si>
  <si>
    <t xml:space="preserve">201301</t>
  </si>
  <si>
    <t xml:space="preserve">609900</t>
  </si>
  <si>
    <t xml:space="preserve">630004</t>
  </si>
  <si>
    <t xml:space="preserve">640201</t>
  </si>
  <si>
    <t xml:space="preserve">101060</t>
  </si>
  <si>
    <t xml:space="preserve">110005</t>
  </si>
  <si>
    <t xml:space="preserve">110007</t>
  </si>
  <si>
    <t xml:space="preserve">110051</t>
  </si>
  <si>
    <t xml:space="preserve">110055</t>
  </si>
  <si>
    <t xml:space="preserve">111002</t>
  </si>
  <si>
    <t xml:space="preserve">113090</t>
  </si>
  <si>
    <t xml:space="preserve">190001</t>
  </si>
  <si>
    <t xml:space="preserve">190002</t>
  </si>
  <si>
    <t xml:space="preserve">190004</t>
  </si>
  <si>
    <t xml:space="preserve">190006</t>
  </si>
  <si>
    <t xml:space="preserve">200006</t>
  </si>
  <si>
    <t xml:space="preserve">241000</t>
  </si>
  <si>
    <t xml:space="preserve">311001</t>
  </si>
  <si>
    <t xml:space="preserve">311002</t>
  </si>
  <si>
    <t xml:space="preserve">699999</t>
  </si>
  <si>
    <t xml:space="preserve">101140</t>
  </si>
  <si>
    <t xml:space="preserve">101143</t>
  </si>
  <si>
    <t xml:space="preserve">110006</t>
  </si>
  <si>
    <t xml:space="preserve">192001</t>
  </si>
  <si>
    <t xml:space="preserve">200005</t>
  </si>
  <si>
    <t xml:space="preserve">501051</t>
  </si>
  <si>
    <t xml:space="preserve">501052</t>
  </si>
  <si>
    <t xml:space="preserve">502050</t>
  </si>
  <si>
    <t xml:space="preserve">502051</t>
  </si>
  <si>
    <t xml:space="preserve">100960</t>
  </si>
  <si>
    <t xml:space="preserve">101001</t>
  </si>
  <si>
    <t xml:space="preserve">101010</t>
  </si>
  <si>
    <t xml:space="preserve">101070</t>
  </si>
  <si>
    <t xml:space="preserve">101071</t>
  </si>
  <si>
    <t xml:space="preserve">101083</t>
  </si>
  <si>
    <t xml:space="preserve">101085</t>
  </si>
  <si>
    <t xml:space="preserve">101088</t>
  </si>
  <si>
    <t xml:space="preserve">101090</t>
  </si>
  <si>
    <t xml:space="preserve">101093</t>
  </si>
  <si>
    <t xml:space="preserve">101094</t>
  </si>
  <si>
    <t xml:space="preserve">101096</t>
  </si>
  <si>
    <t xml:space="preserve">101120</t>
  </si>
  <si>
    <t xml:space="preserve">101123</t>
  </si>
  <si>
    <t xml:space="preserve">101124</t>
  </si>
  <si>
    <t xml:space="preserve">101126</t>
  </si>
  <si>
    <t xml:space="preserve">101130</t>
  </si>
  <si>
    <t xml:space="preserve">101133</t>
  </si>
  <si>
    <t xml:space="preserve">101150</t>
  </si>
  <si>
    <t xml:space="preserve">101260</t>
  </si>
  <si>
    <t xml:space="preserve">101263</t>
  </si>
  <si>
    <t xml:space="preserve">101270</t>
  </si>
  <si>
    <t xml:space="preserve">101273</t>
  </si>
  <si>
    <t xml:space="preserve">101274</t>
  </si>
  <si>
    <t xml:space="preserve">101276</t>
  </si>
  <si>
    <t xml:space="preserve">101280</t>
  </si>
  <si>
    <t xml:space="preserve">101284</t>
  </si>
  <si>
    <t xml:space="preserve">101285</t>
  </si>
  <si>
    <t xml:space="preserve">101286</t>
  </si>
  <si>
    <t xml:space="preserve">101287</t>
  </si>
  <si>
    <t xml:space="preserve">101289</t>
  </si>
  <si>
    <t xml:space="preserve">110000</t>
  </si>
  <si>
    <t xml:space="preserve">110002</t>
  </si>
  <si>
    <t xml:space="preserve">110003</t>
  </si>
  <si>
    <t xml:space="preserve">110004</t>
  </si>
  <si>
    <t xml:space="preserve">110052</t>
  </si>
  <si>
    <t xml:space="preserve">110053</t>
  </si>
  <si>
    <t xml:space="preserve">110100</t>
  </si>
  <si>
    <t xml:space="preserve">110101</t>
  </si>
  <si>
    <t xml:space="preserve">110102</t>
  </si>
  <si>
    <t xml:space="preserve">110103</t>
  </si>
  <si>
    <t xml:space="preserve">111000</t>
  </si>
  <si>
    <t xml:space="preserve">111001</t>
  </si>
  <si>
    <t xml:space="preserve">113001</t>
  </si>
  <si>
    <t xml:space="preserve">120010</t>
  </si>
  <si>
    <t xml:space="preserve">120020</t>
  </si>
  <si>
    <t xml:space="preserve">120030</t>
  </si>
  <si>
    <t xml:space="preserve">120031</t>
  </si>
  <si>
    <t xml:space="preserve">130000</t>
  </si>
  <si>
    <t xml:space="preserve">130001</t>
  </si>
  <si>
    <t xml:space="preserve">130100</t>
  </si>
  <si>
    <t xml:space="preserve">130101</t>
  </si>
  <si>
    <t xml:space="preserve">130110</t>
  </si>
  <si>
    <t xml:space="preserve">130111</t>
  </si>
  <si>
    <t xml:space="preserve">130300</t>
  </si>
  <si>
    <t xml:space="preserve">165301</t>
  </si>
  <si>
    <t xml:space="preserve">170000</t>
  </si>
  <si>
    <t xml:space="preserve">170050</t>
  </si>
  <si>
    <t xml:space="preserve">170100</t>
  </si>
  <si>
    <t xml:space="preserve">170101</t>
  </si>
  <si>
    <t xml:space="preserve">170103</t>
  </si>
  <si>
    <t xml:space="preserve">170150</t>
  </si>
  <si>
    <t xml:space="preserve">170151</t>
  </si>
  <si>
    <t xml:space="preserve">170153</t>
  </si>
  <si>
    <t xml:space="preserve">170300</t>
  </si>
  <si>
    <t xml:space="preserve">170304</t>
  </si>
  <si>
    <t xml:space="preserve">170350</t>
  </si>
  <si>
    <t xml:space="preserve">170354</t>
  </si>
  <si>
    <t xml:space="preserve">180100</t>
  </si>
  <si>
    <t xml:space="preserve">180101</t>
  </si>
  <si>
    <t xml:space="preserve">180110</t>
  </si>
  <si>
    <t xml:space="preserve">180111</t>
  </si>
  <si>
    <t xml:space="preserve">200100</t>
  </si>
  <si>
    <t xml:space="preserve">200101</t>
  </si>
  <si>
    <t xml:space="preserve">200201</t>
  </si>
  <si>
    <t xml:space="preserve">200202</t>
  </si>
  <si>
    <t xml:space="preserve">200211</t>
  </si>
  <si>
    <t xml:space="preserve">201011</t>
  </si>
  <si>
    <t xml:space="preserve">201021</t>
  </si>
  <si>
    <t xml:space="preserve">201030</t>
  </si>
  <si>
    <t xml:space="preserve">201040</t>
  </si>
  <si>
    <t xml:space="preserve">201041</t>
  </si>
  <si>
    <t xml:space="preserve">204000</t>
  </si>
  <si>
    <t xml:space="preserve">204001</t>
  </si>
  <si>
    <t xml:space="preserve">210100</t>
  </si>
  <si>
    <t xml:space="preserve">230100</t>
  </si>
  <si>
    <t xml:space="preserve">230101</t>
  </si>
  <si>
    <t xml:space="preserve">230110</t>
  </si>
  <si>
    <t xml:space="preserve">230111</t>
  </si>
  <si>
    <t xml:space="preserve">230300</t>
  </si>
  <si>
    <t xml:space="preserve">241200</t>
  </si>
  <si>
    <t xml:space="preserve">270100</t>
  </si>
  <si>
    <t xml:space="preserve">270101</t>
  </si>
  <si>
    <t xml:space="preserve">270110</t>
  </si>
  <si>
    <t xml:space="preserve">270111</t>
  </si>
  <si>
    <t xml:space="preserve">310000</t>
  </si>
  <si>
    <t xml:space="preserve">501001</t>
  </si>
  <si>
    <t xml:space="preserve">501002</t>
  </si>
  <si>
    <t xml:space="preserve">501003</t>
  </si>
  <si>
    <t xml:space="preserve">501004</t>
  </si>
  <si>
    <t xml:space="preserve">501005</t>
  </si>
  <si>
    <t xml:space="preserve">501006</t>
  </si>
  <si>
    <t xml:space="preserve">501007</t>
  </si>
  <si>
    <t xml:space="preserve">501008</t>
  </si>
  <si>
    <t xml:space="preserve">501009</t>
  </si>
  <si>
    <t xml:space="preserve">501010</t>
  </si>
  <si>
    <t xml:space="preserve">501011</t>
  </si>
  <si>
    <t xml:space="preserve">501012</t>
  </si>
  <si>
    <t xml:space="preserve">501014</t>
  </si>
  <si>
    <t xml:space="preserve">501016</t>
  </si>
  <si>
    <t xml:space="preserve">501017</t>
  </si>
  <si>
    <t xml:space="preserve">501018</t>
  </si>
  <si>
    <t xml:space="preserve">501100</t>
  </si>
  <si>
    <t xml:space="preserve">501101</t>
  </si>
  <si>
    <t xml:space="preserve">501102</t>
  </si>
  <si>
    <t xml:space="preserve">501103</t>
  </si>
  <si>
    <t xml:space="preserve">501104</t>
  </si>
  <si>
    <t xml:space="preserve">501105</t>
  </si>
  <si>
    <t xml:space="preserve">501106</t>
  </si>
  <si>
    <t xml:space="preserve">501201</t>
  </si>
  <si>
    <t xml:space="preserve">501204</t>
  </si>
  <si>
    <t xml:space="preserve">501207</t>
  </si>
  <si>
    <t xml:space="preserve">501209</t>
  </si>
  <si>
    <t xml:space="preserve">501900</t>
  </si>
  <si>
    <t xml:space="preserve">502000</t>
  </si>
  <si>
    <t xml:space="preserve">502001</t>
  </si>
  <si>
    <t xml:space="preserve">502002</t>
  </si>
  <si>
    <t xml:space="preserve">502003</t>
  </si>
  <si>
    <t xml:space="preserve">502004</t>
  </si>
  <si>
    <t xml:space="preserve">502005</t>
  </si>
  <si>
    <t xml:space="preserve">511001</t>
  </si>
  <si>
    <t xml:space="preserve">601000</t>
  </si>
  <si>
    <t xml:space="preserve">601001</t>
  </si>
  <si>
    <t xml:space="preserve">601002</t>
  </si>
  <si>
    <t xml:space="preserve">601003</t>
  </si>
  <si>
    <t xml:space="preserve">601004</t>
  </si>
  <si>
    <t xml:space="preserve">601005</t>
  </si>
  <si>
    <t xml:space="preserve">601007</t>
  </si>
  <si>
    <t xml:space="preserve">601008</t>
  </si>
  <si>
    <t xml:space="preserve">601101</t>
  </si>
  <si>
    <t xml:space="preserve">601102</t>
  </si>
  <si>
    <t xml:space="preserve">601103</t>
  </si>
  <si>
    <t xml:space="preserve">601104</t>
  </si>
  <si>
    <t xml:space="preserve">601106</t>
  </si>
  <si>
    <t xml:space="preserve">601108</t>
  </si>
  <si>
    <t xml:space="preserve">601115</t>
  </si>
  <si>
    <t xml:space="preserve">601116</t>
  </si>
  <si>
    <t xml:space="preserve">601117</t>
  </si>
  <si>
    <t xml:space="preserve">601118</t>
  </si>
  <si>
    <t xml:space="preserve">601119</t>
  </si>
  <si>
    <t xml:space="preserve">601200</t>
  </si>
  <si>
    <t xml:space="preserve">601201</t>
  </si>
  <si>
    <t xml:space="preserve">601202</t>
  </si>
  <si>
    <t xml:space="preserve">601210</t>
  </si>
  <si>
    <t xml:space="preserve">601220</t>
  </si>
  <si>
    <t xml:space="preserve">601230</t>
  </si>
  <si>
    <t xml:space="preserve">601240</t>
  </si>
  <si>
    <t xml:space="preserve">601241</t>
  </si>
  <si>
    <t xml:space="preserve">601250</t>
  </si>
  <si>
    <t xml:space="preserve">630100</t>
  </si>
  <si>
    <t xml:space="preserve">630102</t>
  </si>
  <si>
    <t xml:space="preserve">630104</t>
  </si>
  <si>
    <t xml:space="preserve">630201</t>
  </si>
  <si>
    <t xml:space="preserve">630400</t>
  </si>
  <si>
    <t xml:space="preserve">700000</t>
  </si>
  <si>
    <t xml:space="preserve">700001</t>
  </si>
  <si>
    <t xml:space="preserve">3720</t>
  </si>
  <si>
    <t xml:space="preserve">101100</t>
  </si>
  <si>
    <t xml:space="preserve">101101</t>
  </si>
  <si>
    <t xml:space="preserve">102000</t>
  </si>
  <si>
    <t xml:space="preserve">192000</t>
  </si>
  <si>
    <t xml:space="preserve">101340</t>
  </si>
  <si>
    <t xml:space="preserve">290000</t>
  </si>
  <si>
    <t xml:space="preserve">4100</t>
  </si>
  <si>
    <t xml:space="preserve">5000</t>
  </si>
  <si>
    <t xml:space="preserve">5100</t>
  </si>
  <si>
    <t xml:space="preserve">160050</t>
  </si>
  <si>
    <t xml:space="preserve">170302</t>
  </si>
  <si>
    <t xml:space="preserve">170352</t>
  </si>
  <si>
    <t xml:space="preserve">175001</t>
  </si>
  <si>
    <t xml:space="preserve">5200</t>
  </si>
  <si>
    <t xml:space="preserve">5220</t>
  </si>
  <si>
    <t xml:space="preserve">5300</t>
  </si>
  <si>
    <t xml:space="preserve">5400</t>
  </si>
  <si>
    <t xml:space="preserve">5430</t>
  </si>
  <si>
    <t xml:space="preserve">190003</t>
  </si>
  <si>
    <t xml:space="preserve">190005</t>
  </si>
  <si>
    <t xml:space="preserve">311000</t>
  </si>
  <si>
    <t xml:space="preserve">650000</t>
  </si>
  <si>
    <t xml:space="preserve">5440</t>
  </si>
  <si>
    <t xml:space="preserve">201200</t>
  </si>
  <si>
    <t xml:space="preserve">201201</t>
  </si>
  <si>
    <t xml:space="preserve">501206</t>
  </si>
  <si>
    <t xml:space="preserve">512001</t>
  </si>
  <si>
    <t xml:space="preserve">601310</t>
  </si>
  <si>
    <t xml:space="preserve">6000</t>
  </si>
  <si>
    <t xml:space="preserve">Reconciliation Results - Cloud System vs Legacy System</t>
  </si>
  <si>
    <t xml:space="preserve">Company Codes 2000 and 3420 (August 2019)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</si>
</sst>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&quot; AUD&quot;;\-#,##0.00&quot; AUD&quot;"/>
  </numFmts>
  <fonts count="14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Company Code 2000 - Cloud vs Legacy Ending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"Cloud System (New)"</c:f>
              <c:strCache>
                <c:ptCount val="1"/>
                <c:pt idx="0">
                  <c:v>Cloud System (New)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'Cloud System'!$C$4:$C$31</c:f>
              <c:strCache>
                <c:ptCount val="28"/>
                <c:pt idx="0">
                  <c:v>602000</c:v>
                </c:pt>
                <c:pt idx="1">
                  <c:v>602003</c:v>
                </c:pt>
                <c:pt idx="2">
                  <c:v>602004</c:v>
                </c:pt>
                <c:pt idx="3">
                  <c:v>602005</c:v>
                </c:pt>
                <c:pt idx="4">
                  <c:v>602010</c:v>
                </c:pt>
                <c:pt idx="5">
                  <c:v>602020</c:v>
                </c:pt>
                <c:pt idx="6">
                  <c:v>602030</c:v>
                </c:pt>
                <c:pt idx="7">
                  <c:v>602070</c:v>
                </c:pt>
                <c:pt idx="8">
                  <c:v>602072</c:v>
                </c:pt>
                <c:pt idx="9">
                  <c:v>603000</c:v>
                </c:pt>
                <c:pt idx="10">
                  <c:v>910003</c:v>
                </c:pt>
                <c:pt idx="11">
                  <c:v>604040</c:v>
                </c:pt>
                <c:pt idx="12">
                  <c:v>910001</c:v>
                </c:pt>
                <c:pt idx="13">
                  <c:v>604020</c:v>
                </c:pt>
                <c:pt idx="14">
                  <c:v>604010</c:v>
                </c:pt>
                <c:pt idx="15">
                  <c:v>608020</c:v>
                </c:pt>
                <c:pt idx="16">
                  <c:v>609004</c:v>
                </c:pt>
                <c:pt idx="17">
                  <c:v>609005</c:v>
                </c:pt>
                <c:pt idx="18">
                  <c:v>609006</c:v>
                </c:pt>
                <c:pt idx="19">
                  <c:v>609002</c:v>
                </c:pt>
                <c:pt idx="20">
                  <c:v>609003</c:v>
                </c:pt>
                <c:pt idx="21">
                  <c:v>609009</c:v>
                </c:pt>
                <c:pt idx="22">
                  <c:v>609010</c:v>
                </c:pt>
                <c:pt idx="23">
                  <c:v>607000</c:v>
                </c:pt>
                <c:pt idx="24">
                  <c:v>607010</c:v>
                </c:pt>
                <c:pt idx="25">
                  <c:v>604031</c:v>
                </c:pt>
                <c:pt idx="26">
                  <c:v>910002</c:v>
                </c:pt>
                <c:pt idx="27">
                  <c:v>910004</c:v>
                </c:pt>
              </c:strCache>
            </c:strRef>
          </c:cat>
          <c:val>
            <c:numRef>
              <c:f>'Cloud System'!$D$4:$D$31</c:f>
              <c:numCache>
                <c:formatCode>#,##0.00</c:formatCode>
                <c:ptCount val="28"/>
                <c:pt idx="0">
                  <c:v>918278.42</c:v>
                </c:pt>
                <c:pt idx="1">
                  <c:v>631.22</c:v>
                </c:pt>
                <c:pt idx="2">
                  <c:v>2213.78</c:v>
                </c:pt>
                <c:pt idx="3">
                  <c:v>2923.84</c:v>
                </c:pt>
                <c:pt idx="4">
                  <c:v>105048.2</c:v>
                </c:pt>
                <c:pt idx="5">
                  <c:v>22159.25</c:v>
                </c:pt>
                <c:pt idx="6">
                  <c:v>34521.73</c:v>
                </c:pt>
                <c:pt idx="7">
                  <c:v>187.5</c:v>
                </c:pt>
                <c:pt idx="8">
                  <c:v>53794.86</c:v>
                </c:pt>
                <c:pt idx="9">
                  <c:v>101680.73</c:v>
                </c:pt>
                <c:pt idx="10">
                  <c:v>0</c:v>
                </c:pt>
                <c:pt idx="11">
                  <c:v>428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250</c:v>
                </c:pt>
                <c:pt idx="16">
                  <c:v>49677.72</c:v>
                </c:pt>
                <c:pt idx="17">
                  <c:v>6075.35</c:v>
                </c:pt>
                <c:pt idx="18">
                  <c:v>1261.6</c:v>
                </c:pt>
                <c:pt idx="19">
                  <c:v>4247.32</c:v>
                </c:pt>
                <c:pt idx="20">
                  <c:v>32609.81</c:v>
                </c:pt>
                <c:pt idx="21">
                  <c:v>-48.92</c:v>
                </c:pt>
                <c:pt idx="22">
                  <c:v>902.1</c:v>
                </c:pt>
                <c:pt idx="23">
                  <c:v>136863.01</c:v>
                </c:pt>
                <c:pt idx="24">
                  <c:v>441.47</c:v>
                </c:pt>
                <c:pt idx="25">
                  <c:v>1463879.12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"/>
          <c:order val="1"/>
          <c:tx>
            <c:strRef>
              <c:f>"Legacy System"</c:f>
              <c:strCache>
                <c:ptCount val="1"/>
                <c:pt idx="0">
                  <c:v>Legacy System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'Cloud System'!$C$4:$C$31</c:f>
              <c:strCache>
                <c:ptCount val="28"/>
                <c:pt idx="0">
                  <c:v>602000</c:v>
                </c:pt>
                <c:pt idx="1">
                  <c:v>602003</c:v>
                </c:pt>
                <c:pt idx="2">
                  <c:v>602004</c:v>
                </c:pt>
                <c:pt idx="3">
                  <c:v>602005</c:v>
                </c:pt>
                <c:pt idx="4">
                  <c:v>602010</c:v>
                </c:pt>
                <c:pt idx="5">
                  <c:v>602020</c:v>
                </c:pt>
                <c:pt idx="6">
                  <c:v>602030</c:v>
                </c:pt>
                <c:pt idx="7">
                  <c:v>602070</c:v>
                </c:pt>
                <c:pt idx="8">
                  <c:v>602072</c:v>
                </c:pt>
                <c:pt idx="9">
                  <c:v>603000</c:v>
                </c:pt>
                <c:pt idx="10">
                  <c:v>910003</c:v>
                </c:pt>
                <c:pt idx="11">
                  <c:v>604040</c:v>
                </c:pt>
                <c:pt idx="12">
                  <c:v>910001</c:v>
                </c:pt>
                <c:pt idx="13">
                  <c:v>604020</c:v>
                </c:pt>
                <c:pt idx="14">
                  <c:v>604010</c:v>
                </c:pt>
                <c:pt idx="15">
                  <c:v>608020</c:v>
                </c:pt>
                <c:pt idx="16">
                  <c:v>609004</c:v>
                </c:pt>
                <c:pt idx="17">
                  <c:v>609005</c:v>
                </c:pt>
                <c:pt idx="18">
                  <c:v>609006</c:v>
                </c:pt>
                <c:pt idx="19">
                  <c:v>609002</c:v>
                </c:pt>
                <c:pt idx="20">
                  <c:v>609003</c:v>
                </c:pt>
                <c:pt idx="21">
                  <c:v>609009</c:v>
                </c:pt>
                <c:pt idx="22">
                  <c:v>609010</c:v>
                </c:pt>
                <c:pt idx="23">
                  <c:v>607000</c:v>
                </c:pt>
                <c:pt idx="24">
                  <c:v>607010</c:v>
                </c:pt>
                <c:pt idx="25">
                  <c:v>604031</c:v>
                </c:pt>
                <c:pt idx="26">
                  <c:v>910002</c:v>
                </c:pt>
                <c:pt idx="27">
                  <c:v>910004</c:v>
                </c:pt>
              </c:strCache>
            </c:strRef>
          </c:cat>
          <c:val>
            <c:numRef>
              <c:f>'Cloud System'!$F$4:$F$31</c:f>
              <c:numCache>
                <c:formatCode>#,##0.00</c:formatCode>
                <c:ptCount val="28"/>
                <c:pt idx="0">
                  <c:v>918278.42</c:v>
                </c:pt>
                <c:pt idx="1">
                  <c:v>631.22</c:v>
                </c:pt>
                <c:pt idx="2">
                  <c:v>2213.78</c:v>
                </c:pt>
                <c:pt idx="3">
                  <c:v>2923.84</c:v>
                </c:pt>
                <c:pt idx="4">
                  <c:v>105048.2</c:v>
                </c:pt>
                <c:pt idx="5">
                  <c:v>22159.25</c:v>
                </c:pt>
                <c:pt idx="6">
                  <c:v>34521.73</c:v>
                </c:pt>
                <c:pt idx="7">
                  <c:v>187.5</c:v>
                </c:pt>
                <c:pt idx="8">
                  <c:v>53794.86</c:v>
                </c:pt>
                <c:pt idx="9">
                  <c:v>101680.73</c:v>
                </c:pt>
                <c:pt idx="10">
                  <c:v>0</c:v>
                </c:pt>
                <c:pt idx="11">
                  <c:v>428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250</c:v>
                </c:pt>
                <c:pt idx="16">
                  <c:v>49677.72</c:v>
                </c:pt>
                <c:pt idx="17">
                  <c:v>6075.35</c:v>
                </c:pt>
                <c:pt idx="18">
                  <c:v>1261.6</c:v>
                </c:pt>
                <c:pt idx="19">
                  <c:v>4247.32</c:v>
                </c:pt>
                <c:pt idx="20">
                  <c:v>32609.81</c:v>
                </c:pt>
                <c:pt idx="21">
                  <c:v>-48.92</c:v>
                </c:pt>
                <c:pt idx="22">
                  <c:v>902.1</c:v>
                </c:pt>
                <c:pt idx="23">
                  <c:v>136863.01</c:v>
                </c:pt>
                <c:pt idx="24">
                  <c:v>441.47</c:v>
                </c:pt>
                <c:pt idx="25">
                  <c:v>1463879.12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gapWidth val="150"/>
        <c:overlap val="0"/>
        <c:axId val="23051179"/>
        <c:axId val="68068801"/>
      </c:barChart>
      <c:catAx>
        <c:axId val="230511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G/L Account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068801"/>
        <c:crosses val="autoZero"/>
        <c:auto val="1"/>
        <c:lblAlgn val="ctr"/>
        <c:lblOffset val="100"/>
        <c:noMultiLvlLbl val="0"/>
      </c:catAx>
      <c:valAx>
        <c:axId val="680688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Ending Balance (AUD)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30511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Company Code 3420 - Cloud vs Legacy Ending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"Cloud System (New)"</c:f>
              <c:strCache>
                <c:ptCount val="1"/>
                <c:pt idx="0">
                  <c:v>Cloud System (New)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'Cloud System'!$C$220:$C$256</c:f>
              <c:strCache>
                <c:ptCount val="37"/>
                <c:pt idx="0">
                  <c:v>601050</c:v>
                </c:pt>
                <c:pt idx="1">
                  <c:v>601051</c:v>
                </c:pt>
                <c:pt idx="2">
                  <c:v>601052</c:v>
                </c:pt>
                <c:pt idx="3">
                  <c:v>602000</c:v>
                </c:pt>
                <c:pt idx="4">
                  <c:v>602004</c:v>
                </c:pt>
                <c:pt idx="5">
                  <c:v>602010</c:v>
                </c:pt>
                <c:pt idx="6">
                  <c:v>602020</c:v>
                </c:pt>
                <c:pt idx="7">
                  <c:v>602030</c:v>
                </c:pt>
                <c:pt idx="8">
                  <c:v>602040</c:v>
                </c:pt>
                <c:pt idx="9">
                  <c:v>602050</c:v>
                </c:pt>
                <c:pt idx="10">
                  <c:v>602060</c:v>
                </c:pt>
                <c:pt idx="11">
                  <c:v>602070</c:v>
                </c:pt>
                <c:pt idx="12">
                  <c:v>602072</c:v>
                </c:pt>
                <c:pt idx="13">
                  <c:v>602080</c:v>
                </c:pt>
                <c:pt idx="14">
                  <c:v>603000</c:v>
                </c:pt>
                <c:pt idx="15">
                  <c:v>910003</c:v>
                </c:pt>
                <c:pt idx="16">
                  <c:v>604040</c:v>
                </c:pt>
                <c:pt idx="17">
                  <c:v>910001</c:v>
                </c:pt>
                <c:pt idx="18">
                  <c:v>604010</c:v>
                </c:pt>
                <c:pt idx="19">
                  <c:v>605000</c:v>
                </c:pt>
                <c:pt idx="20">
                  <c:v>605020</c:v>
                </c:pt>
                <c:pt idx="21">
                  <c:v>606030</c:v>
                </c:pt>
                <c:pt idx="22">
                  <c:v>608010</c:v>
                </c:pt>
                <c:pt idx="23">
                  <c:v>608020</c:v>
                </c:pt>
                <c:pt idx="24">
                  <c:v>608040</c:v>
                </c:pt>
                <c:pt idx="25">
                  <c:v>608000</c:v>
                </c:pt>
                <c:pt idx="26">
                  <c:v>609004</c:v>
                </c:pt>
                <c:pt idx="27">
                  <c:v>609002</c:v>
                </c:pt>
                <c:pt idx="28">
                  <c:v>609003</c:v>
                </c:pt>
                <c:pt idx="29">
                  <c:v>609009</c:v>
                </c:pt>
                <c:pt idx="30">
                  <c:v>609010</c:v>
                </c:pt>
                <c:pt idx="31">
                  <c:v>609012</c:v>
                </c:pt>
                <c:pt idx="32">
                  <c:v>610002</c:v>
                </c:pt>
                <c:pt idx="33">
                  <c:v>610005</c:v>
                </c:pt>
                <c:pt idx="34">
                  <c:v>607000</c:v>
                </c:pt>
                <c:pt idx="35">
                  <c:v>910004</c:v>
                </c:pt>
                <c:pt idx="36">
                  <c:v>607040</c:v>
                </c:pt>
              </c:strCache>
            </c:strRef>
          </c:cat>
          <c:val>
            <c:numRef>
              <c:f>'Cloud System'!$D$220:$D$256</c:f>
              <c:numCache>
                <c:formatCode>#,##0.00</c:formatCode>
                <c:ptCount val="37"/>
                <c:pt idx="0">
                  <c:v>3913952.43</c:v>
                </c:pt>
                <c:pt idx="1">
                  <c:v>4454006.78</c:v>
                </c:pt>
                <c:pt idx="2">
                  <c:v>337728.04</c:v>
                </c:pt>
                <c:pt idx="3">
                  <c:v>713989.84</c:v>
                </c:pt>
                <c:pt idx="4">
                  <c:v>13322.02</c:v>
                </c:pt>
                <c:pt idx="5">
                  <c:v>35870.24</c:v>
                </c:pt>
                <c:pt idx="6">
                  <c:v>31928.36</c:v>
                </c:pt>
                <c:pt idx="7">
                  <c:v>-18168.11</c:v>
                </c:pt>
                <c:pt idx="8">
                  <c:v>15636.53</c:v>
                </c:pt>
                <c:pt idx="9">
                  <c:v>5133.83</c:v>
                </c:pt>
                <c:pt idx="10">
                  <c:v>250</c:v>
                </c:pt>
                <c:pt idx="11">
                  <c:v>404702.13</c:v>
                </c:pt>
                <c:pt idx="12">
                  <c:v>37873.4</c:v>
                </c:pt>
                <c:pt idx="13">
                  <c:v>-9222</c:v>
                </c:pt>
                <c:pt idx="14">
                  <c:v>80785.53</c:v>
                </c:pt>
                <c:pt idx="15">
                  <c:v>0</c:v>
                </c:pt>
                <c:pt idx="16">
                  <c:v>143936.48</c:v>
                </c:pt>
                <c:pt idx="17">
                  <c:v>0</c:v>
                </c:pt>
                <c:pt idx="18">
                  <c:v>61657.04</c:v>
                </c:pt>
                <c:pt idx="19">
                  <c:v>552.85</c:v>
                </c:pt>
                <c:pt idx="20">
                  <c:v>47451.59</c:v>
                </c:pt>
                <c:pt idx="21">
                  <c:v>7368.38</c:v>
                </c:pt>
                <c:pt idx="22">
                  <c:v>-1572.04</c:v>
                </c:pt>
                <c:pt idx="23">
                  <c:v>18671.14</c:v>
                </c:pt>
                <c:pt idx="24">
                  <c:v>-1362.23</c:v>
                </c:pt>
                <c:pt idx="25">
                  <c:v>54.55</c:v>
                </c:pt>
                <c:pt idx="26">
                  <c:v>13258.16</c:v>
                </c:pt>
                <c:pt idx="27">
                  <c:v>6124.37</c:v>
                </c:pt>
                <c:pt idx="28">
                  <c:v>634.18</c:v>
                </c:pt>
                <c:pt idx="29">
                  <c:v>4748.54</c:v>
                </c:pt>
                <c:pt idx="30">
                  <c:v>-3326.21</c:v>
                </c:pt>
                <c:pt idx="31">
                  <c:v>-37139.39</c:v>
                </c:pt>
                <c:pt idx="32">
                  <c:v>6231.45</c:v>
                </c:pt>
                <c:pt idx="33">
                  <c:v>-77693.43</c:v>
                </c:pt>
                <c:pt idx="34">
                  <c:v>62.73</c:v>
                </c:pt>
                <c:pt idx="35">
                  <c:v>0</c:v>
                </c:pt>
                <c:pt idx="36">
                  <c:v>138342.64</c:v>
                </c:pt>
              </c:numCache>
            </c:numRef>
          </c:val>
        </c:ser>
        <c:ser>
          <c:idx val="1"/>
          <c:order val="1"/>
          <c:tx>
            <c:strRef>
              <c:f>"Legacy System"</c:f>
              <c:strCache>
                <c:ptCount val="1"/>
                <c:pt idx="0">
                  <c:v>Legacy System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'Cloud System'!$C$220:$C$256</c:f>
              <c:strCache>
                <c:ptCount val="37"/>
                <c:pt idx="0">
                  <c:v>601050</c:v>
                </c:pt>
                <c:pt idx="1">
                  <c:v>601051</c:v>
                </c:pt>
                <c:pt idx="2">
                  <c:v>601052</c:v>
                </c:pt>
                <c:pt idx="3">
                  <c:v>602000</c:v>
                </c:pt>
                <c:pt idx="4">
                  <c:v>602004</c:v>
                </c:pt>
                <c:pt idx="5">
                  <c:v>602010</c:v>
                </c:pt>
                <c:pt idx="6">
                  <c:v>602020</c:v>
                </c:pt>
                <c:pt idx="7">
                  <c:v>602030</c:v>
                </c:pt>
                <c:pt idx="8">
                  <c:v>602040</c:v>
                </c:pt>
                <c:pt idx="9">
                  <c:v>602050</c:v>
                </c:pt>
                <c:pt idx="10">
                  <c:v>602060</c:v>
                </c:pt>
                <c:pt idx="11">
                  <c:v>602070</c:v>
                </c:pt>
                <c:pt idx="12">
                  <c:v>602072</c:v>
                </c:pt>
                <c:pt idx="13">
                  <c:v>602080</c:v>
                </c:pt>
                <c:pt idx="14">
                  <c:v>603000</c:v>
                </c:pt>
                <c:pt idx="15">
                  <c:v>910003</c:v>
                </c:pt>
                <c:pt idx="16">
                  <c:v>604040</c:v>
                </c:pt>
                <c:pt idx="17">
                  <c:v>910001</c:v>
                </c:pt>
                <c:pt idx="18">
                  <c:v>604010</c:v>
                </c:pt>
                <c:pt idx="19">
                  <c:v>605000</c:v>
                </c:pt>
                <c:pt idx="20">
                  <c:v>605020</c:v>
                </c:pt>
                <c:pt idx="21">
                  <c:v>606030</c:v>
                </c:pt>
                <c:pt idx="22">
                  <c:v>608010</c:v>
                </c:pt>
                <c:pt idx="23">
                  <c:v>608020</c:v>
                </c:pt>
                <c:pt idx="24">
                  <c:v>608040</c:v>
                </c:pt>
                <c:pt idx="25">
                  <c:v>608000</c:v>
                </c:pt>
                <c:pt idx="26">
                  <c:v>609004</c:v>
                </c:pt>
                <c:pt idx="27">
                  <c:v>609002</c:v>
                </c:pt>
                <c:pt idx="28">
                  <c:v>609003</c:v>
                </c:pt>
                <c:pt idx="29">
                  <c:v>609009</c:v>
                </c:pt>
                <c:pt idx="30">
                  <c:v>609010</c:v>
                </c:pt>
                <c:pt idx="31">
                  <c:v>609012</c:v>
                </c:pt>
                <c:pt idx="32">
                  <c:v>610002</c:v>
                </c:pt>
                <c:pt idx="33">
                  <c:v>610005</c:v>
                </c:pt>
                <c:pt idx="34">
                  <c:v>607000</c:v>
                </c:pt>
                <c:pt idx="35">
                  <c:v>910004</c:v>
                </c:pt>
                <c:pt idx="36">
                  <c:v>607040</c:v>
                </c:pt>
              </c:strCache>
            </c:strRef>
          </c:cat>
          <c:val>
            <c:numRef>
              <c:f>'Cloud System'!$F$220:$F$256</c:f>
              <c:numCache>
                <c:formatCode>#,##0.00</c:formatCode>
                <c:ptCount val="37"/>
                <c:pt idx="0">
                  <c:v>3913952.43</c:v>
                </c:pt>
                <c:pt idx="1">
                  <c:v>4454006.78</c:v>
                </c:pt>
                <c:pt idx="2">
                  <c:v>337728.04</c:v>
                </c:pt>
                <c:pt idx="3">
                  <c:v>713989.84</c:v>
                </c:pt>
                <c:pt idx="4">
                  <c:v>13322.02</c:v>
                </c:pt>
                <c:pt idx="5">
                  <c:v>35870.24</c:v>
                </c:pt>
                <c:pt idx="6">
                  <c:v>31928.36</c:v>
                </c:pt>
                <c:pt idx="7">
                  <c:v>-18168.11</c:v>
                </c:pt>
                <c:pt idx="8">
                  <c:v>15636.53</c:v>
                </c:pt>
                <c:pt idx="9">
                  <c:v>5133.83</c:v>
                </c:pt>
                <c:pt idx="10">
                  <c:v>250</c:v>
                </c:pt>
                <c:pt idx="11">
                  <c:v>404702.13</c:v>
                </c:pt>
                <c:pt idx="12">
                  <c:v>37873.4</c:v>
                </c:pt>
                <c:pt idx="13">
                  <c:v>-9222</c:v>
                </c:pt>
                <c:pt idx="14">
                  <c:v>80785.53</c:v>
                </c:pt>
                <c:pt idx="15">
                  <c:v>0</c:v>
                </c:pt>
                <c:pt idx="16">
                  <c:v>143936.48</c:v>
                </c:pt>
                <c:pt idx="17">
                  <c:v>0</c:v>
                </c:pt>
                <c:pt idx="18">
                  <c:v>61657.04</c:v>
                </c:pt>
                <c:pt idx="19">
                  <c:v>552.85</c:v>
                </c:pt>
                <c:pt idx="20">
                  <c:v>47451.59</c:v>
                </c:pt>
                <c:pt idx="21">
                  <c:v>7368.38</c:v>
                </c:pt>
                <c:pt idx="22">
                  <c:v>-1572.04</c:v>
                </c:pt>
                <c:pt idx="23">
                  <c:v>18671.14</c:v>
                </c:pt>
                <c:pt idx="24">
                  <c:v>-1362.23</c:v>
                </c:pt>
                <c:pt idx="25">
                  <c:v>54.55</c:v>
                </c:pt>
                <c:pt idx="26">
                  <c:v>13258.16</c:v>
                </c:pt>
                <c:pt idx="27">
                  <c:v>6124.37</c:v>
                </c:pt>
                <c:pt idx="28">
                  <c:v>634.18</c:v>
                </c:pt>
                <c:pt idx="29">
                  <c:v>4748.54</c:v>
                </c:pt>
                <c:pt idx="30">
                  <c:v>-3326.21</c:v>
                </c:pt>
                <c:pt idx="31">
                  <c:v>-37139.39</c:v>
                </c:pt>
                <c:pt idx="32">
                  <c:v>6231.45</c:v>
                </c:pt>
                <c:pt idx="33">
                  <c:v>-77693.43</c:v>
                </c:pt>
                <c:pt idx="34">
                  <c:v>62.73</c:v>
                </c:pt>
                <c:pt idx="35">
                  <c:v>0</c:v>
                </c:pt>
                <c:pt idx="36">
                  <c:v>138342.64</c:v>
                </c:pt>
              </c:numCache>
            </c:numRef>
          </c:val>
        </c:ser>
        <c:gapWidth val="150"/>
        <c:overlap val="0"/>
        <c:axId val="94028576"/>
        <c:axId val="84850479"/>
      </c:barChart>
      <c:catAx>
        <c:axId val="940285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G/L Account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4850479"/>
        <c:crosses val="autoZero"/>
        <c:auto val="1"/>
        <c:lblAlgn val="ctr"/>
        <c:lblOffset val="100"/>
        <c:noMultiLvlLbl val="0"/>
      </c:catAx>
      <c:valAx>
        <c:axId val="848504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Ending Balance (AUD)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40285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160920</xdr:rowOff>
    </xdr:from>
    <xdr:to>
      <xdr:col>11</xdr:col>
      <xdr:colOff>525960</xdr:colOff>
      <xdr:row>22</xdr:row>
      <xdr:rowOff>140760</xdr:rowOff>
    </xdr:to>
    <xdr:graphicFrame>
      <xdr:nvGraphicFramePr>
        <xdr:cNvPr id="0" name="Chart 1"/>
        <xdr:cNvGraphicFramePr/>
      </xdr:nvGraphicFramePr>
      <xdr:xfrm>
        <a:off x="667440" y="7621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25</xdr:row>
      <xdr:rowOff>160560</xdr:rowOff>
    </xdr:from>
    <xdr:to>
      <xdr:col>11</xdr:col>
      <xdr:colOff>525960</xdr:colOff>
      <xdr:row>44</xdr:row>
      <xdr:rowOff>140760</xdr:rowOff>
    </xdr:to>
    <xdr:graphicFrame>
      <xdr:nvGraphicFramePr>
        <xdr:cNvPr id="1" name="Chart 2"/>
        <xdr:cNvGraphicFramePr/>
      </xdr:nvGraphicFramePr>
      <xdr:xfrm>
        <a:off x="667440" y="4952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7.63"/>
    <col collapsed="false" customWidth="true" hidden="false" outlineLevel="0" max="2" min="2" style="1" width="13.63"/>
    <col collapsed="false" customWidth="true" hidden="false" outlineLevel="0" max="3" min="3" style="1" width="11.88"/>
    <col collapsed="false" customWidth="true" hidden="false" outlineLevel="0" max="4" min="4" style="1" width="30.26"/>
    <col collapsed="false" customWidth="true" hidden="false" outlineLevel="0" max="25" min="5" style="1" width="16"/>
  </cols>
  <sheetData>
    <row r="1" customFormat="false" ht="48.75" hidden="false" customHeight="true" outlineLevel="0" collapsed="false"/>
    <row r="3" customFormat="false" ht="27.75" hidden="false" customHeight="true" outlineLevel="0" collapsed="false">
      <c r="B3" s="2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customFormat="false" ht="15" hidden="false" customHeight="true" outlineLevel="0" collapsed="false">
      <c r="B4" s="2" t="s">
        <v>7</v>
      </c>
      <c r="C4" s="2" t="s">
        <v>8</v>
      </c>
      <c r="D4" s="4" t="n">
        <v>918278.42</v>
      </c>
      <c r="E4" s="1" t="str">
        <f aca="false">B4&amp;C4</f>
        <v>2000602000</v>
      </c>
      <c r="F4" s="5" t="n">
        <f aca="false">IFERROR(VLOOKUP(E4,'Legacy Data'!$C$2:$D$1702,2,FALSE()),"No legacy match")</f>
        <v>918278.42</v>
      </c>
      <c r="G4" s="5" t="n">
        <f aca="false">IFERROR(F4-D4,"N/A")</f>
        <v>0</v>
      </c>
      <c r="H4" s="1" t="str">
        <f aca="false">IF(ISNUMBER(G4),IF(G4=0,"Match","Variance"),"Check")</f>
        <v>Match</v>
      </c>
    </row>
    <row r="5" customFormat="false" ht="15" hidden="false" customHeight="true" outlineLevel="0" collapsed="false">
      <c r="B5" s="2" t="s">
        <v>7</v>
      </c>
      <c r="C5" s="2" t="s">
        <v>9</v>
      </c>
      <c r="D5" s="4" t="n">
        <v>631.22</v>
      </c>
      <c r="E5" s="1" t="str">
        <f aca="false">B5&amp;C5</f>
        <v>2000602003</v>
      </c>
      <c r="F5" s="5" t="n">
        <f aca="false">IFERROR(VLOOKUP(E5,'Legacy Data'!$C$2:$D$1702,2,FALSE()),"No legacy match")</f>
        <v>631.22</v>
      </c>
      <c r="G5" s="5" t="n">
        <f aca="false">IFERROR(F5-D5,"N/A")</f>
        <v>0</v>
      </c>
      <c r="H5" s="1" t="str">
        <f aca="false">IF(ISNUMBER(G5),IF(G5=0,"Match","Variance"),"Check")</f>
        <v>Match</v>
      </c>
    </row>
    <row r="6" customFormat="false" ht="15" hidden="false" customHeight="true" outlineLevel="0" collapsed="false">
      <c r="B6" s="2" t="s">
        <v>7</v>
      </c>
      <c r="C6" s="2" t="s">
        <v>10</v>
      </c>
      <c r="D6" s="4" t="n">
        <v>2213.78</v>
      </c>
      <c r="E6" s="1" t="str">
        <f aca="false">B6&amp;C6</f>
        <v>2000602004</v>
      </c>
      <c r="F6" s="5" t="n">
        <f aca="false">IFERROR(VLOOKUP(E6,'Legacy Data'!$C$2:$D$1702,2,FALSE()),"No legacy match")</f>
        <v>2213.78</v>
      </c>
      <c r="G6" s="5" t="n">
        <f aca="false">IFERROR(F6-D6,"N/A")</f>
        <v>0</v>
      </c>
      <c r="H6" s="1" t="str">
        <f aca="false">IF(ISNUMBER(G6),IF(G6=0,"Match","Variance"),"Check")</f>
        <v>Match</v>
      </c>
    </row>
    <row r="7" customFormat="false" ht="15" hidden="false" customHeight="true" outlineLevel="0" collapsed="false">
      <c r="B7" s="2" t="s">
        <v>7</v>
      </c>
      <c r="C7" s="2" t="s">
        <v>11</v>
      </c>
      <c r="D7" s="4" t="n">
        <v>2923.84</v>
      </c>
      <c r="E7" s="1" t="str">
        <f aca="false">B7&amp;C7</f>
        <v>2000602005</v>
      </c>
      <c r="F7" s="5" t="n">
        <f aca="false">IFERROR(VLOOKUP(E7,'Legacy Data'!$C$2:$D$1702,2,FALSE()),"No legacy match")</f>
        <v>2923.84</v>
      </c>
      <c r="G7" s="5" t="n">
        <f aca="false">IFERROR(F7-D7,"N/A")</f>
        <v>0</v>
      </c>
      <c r="H7" s="1" t="str">
        <f aca="false">IF(ISNUMBER(G7),IF(G7=0,"Match","Variance"),"Check")</f>
        <v>Match</v>
      </c>
    </row>
    <row r="8" customFormat="false" ht="15" hidden="false" customHeight="true" outlineLevel="0" collapsed="false">
      <c r="B8" s="2" t="s">
        <v>7</v>
      </c>
      <c r="C8" s="2" t="s">
        <v>12</v>
      </c>
      <c r="D8" s="4" t="n">
        <v>105048.2</v>
      </c>
      <c r="E8" s="1" t="str">
        <f aca="false">B8&amp;C8</f>
        <v>2000602010</v>
      </c>
      <c r="F8" s="5" t="n">
        <f aca="false">IFERROR(VLOOKUP(E8,'Legacy Data'!$C$2:$D$1702,2,FALSE()),"No legacy match")</f>
        <v>105048.2</v>
      </c>
      <c r="G8" s="5" t="n">
        <f aca="false">IFERROR(F8-D8,"N/A")</f>
        <v>0</v>
      </c>
      <c r="H8" s="1" t="str">
        <f aca="false">IF(ISNUMBER(G8),IF(G8=0,"Match","Variance"),"Check")</f>
        <v>Match</v>
      </c>
    </row>
    <row r="9" customFormat="false" ht="15" hidden="false" customHeight="true" outlineLevel="0" collapsed="false">
      <c r="B9" s="2" t="s">
        <v>7</v>
      </c>
      <c r="C9" s="2" t="s">
        <v>13</v>
      </c>
      <c r="D9" s="4" t="n">
        <v>22159.25</v>
      </c>
      <c r="E9" s="1" t="str">
        <f aca="false">B9&amp;C9</f>
        <v>2000602020</v>
      </c>
      <c r="F9" s="5" t="n">
        <f aca="false">IFERROR(VLOOKUP(E9,'Legacy Data'!$C$2:$D$1702,2,FALSE()),"No legacy match")</f>
        <v>22159.25</v>
      </c>
      <c r="G9" s="5" t="n">
        <f aca="false">IFERROR(F9-D9,"N/A")</f>
        <v>0</v>
      </c>
      <c r="H9" s="1" t="str">
        <f aca="false">IF(ISNUMBER(G9),IF(G9=0,"Match","Variance"),"Check")</f>
        <v>Match</v>
      </c>
    </row>
    <row r="10" customFormat="false" ht="15" hidden="false" customHeight="true" outlineLevel="0" collapsed="false">
      <c r="B10" s="2" t="s">
        <v>7</v>
      </c>
      <c r="C10" s="2" t="s">
        <v>14</v>
      </c>
      <c r="D10" s="4" t="n">
        <v>34521.73</v>
      </c>
      <c r="E10" s="1" t="str">
        <f aca="false">B10&amp;C10</f>
        <v>2000602030</v>
      </c>
      <c r="F10" s="5" t="n">
        <f aca="false">IFERROR(VLOOKUP(E10,'Legacy Data'!$C$2:$D$1702,2,FALSE()),"No legacy match")</f>
        <v>34521.73</v>
      </c>
      <c r="G10" s="5" t="n">
        <f aca="false">IFERROR(F10-D10,"N/A")</f>
        <v>0</v>
      </c>
      <c r="H10" s="1" t="str">
        <f aca="false">IF(ISNUMBER(G10),IF(G10=0,"Match","Variance"),"Check")</f>
        <v>Match</v>
      </c>
    </row>
    <row r="11" customFormat="false" ht="15" hidden="false" customHeight="true" outlineLevel="0" collapsed="false">
      <c r="B11" s="2" t="s">
        <v>7</v>
      </c>
      <c r="C11" s="2" t="s">
        <v>15</v>
      </c>
      <c r="D11" s="4" t="n">
        <v>187.5</v>
      </c>
      <c r="E11" s="1" t="str">
        <f aca="false">B11&amp;C11</f>
        <v>2000602070</v>
      </c>
      <c r="F11" s="5" t="n">
        <f aca="false">IFERROR(VLOOKUP(E11,'Legacy Data'!$C$2:$D$1702,2,FALSE()),"No legacy match")</f>
        <v>187.5</v>
      </c>
      <c r="G11" s="5" t="n">
        <f aca="false">IFERROR(F11-D11,"N/A")</f>
        <v>0</v>
      </c>
      <c r="H11" s="1" t="str">
        <f aca="false">IF(ISNUMBER(G11),IF(G11=0,"Match","Variance"),"Check")</f>
        <v>Match</v>
      </c>
    </row>
    <row r="12" customFormat="false" ht="15" hidden="false" customHeight="true" outlineLevel="0" collapsed="false">
      <c r="B12" s="2" t="s">
        <v>7</v>
      </c>
      <c r="C12" s="2" t="s">
        <v>16</v>
      </c>
      <c r="D12" s="4" t="n">
        <v>53794.86</v>
      </c>
      <c r="E12" s="1" t="str">
        <f aca="false">B12&amp;C12</f>
        <v>2000602072</v>
      </c>
      <c r="F12" s="5" t="n">
        <f aca="false">IFERROR(VLOOKUP(E12,'Legacy Data'!$C$2:$D$1702,2,FALSE()),"No legacy match")</f>
        <v>53794.86</v>
      </c>
      <c r="G12" s="5" t="n">
        <f aca="false">IFERROR(F12-D12,"N/A")</f>
        <v>0</v>
      </c>
      <c r="H12" s="1" t="str">
        <f aca="false">IF(ISNUMBER(G12),IF(G12=0,"Match","Variance"),"Check")</f>
        <v>Match</v>
      </c>
    </row>
    <row r="13" customFormat="false" ht="15" hidden="false" customHeight="true" outlineLevel="0" collapsed="false">
      <c r="B13" s="2" t="s">
        <v>7</v>
      </c>
      <c r="C13" s="2" t="s">
        <v>17</v>
      </c>
      <c r="D13" s="4" t="n">
        <v>101680.73</v>
      </c>
      <c r="E13" s="1" t="str">
        <f aca="false">B13&amp;C13</f>
        <v>2000603000</v>
      </c>
      <c r="F13" s="5" t="n">
        <f aca="false">IFERROR(VLOOKUP(E13,'Legacy Data'!$C$2:$D$1702,2,FALSE()),"No legacy match")</f>
        <v>101680.73</v>
      </c>
      <c r="G13" s="5" t="n">
        <f aca="false">IFERROR(F13-D13,"N/A")</f>
        <v>0</v>
      </c>
      <c r="H13" s="1" t="str">
        <f aca="false">IF(ISNUMBER(G13),IF(G13=0,"Match","Variance"),"Check")</f>
        <v>Match</v>
      </c>
    </row>
    <row r="14" customFormat="false" ht="15" hidden="false" customHeight="true" outlineLevel="0" collapsed="false">
      <c r="B14" s="2" t="s">
        <v>7</v>
      </c>
      <c r="C14" s="2" t="s">
        <v>18</v>
      </c>
      <c r="D14" s="4" t="n">
        <v>0</v>
      </c>
      <c r="E14" s="1" t="str">
        <f aca="false">B14&amp;C14</f>
        <v>2000910003</v>
      </c>
      <c r="F14" s="5" t="n">
        <f aca="false">IFERROR(VLOOKUP(E14,'Legacy Data'!$C$2:$D$1702,2,FALSE()),"No legacy match")</f>
        <v>0</v>
      </c>
      <c r="G14" s="5" t="n">
        <f aca="false">IFERROR(F14-D14,"N/A")</f>
        <v>0</v>
      </c>
      <c r="H14" s="1" t="str">
        <f aca="false">IF(ISNUMBER(G14),IF(G14=0,"Match","Variance"),"Check")</f>
        <v>Match</v>
      </c>
    </row>
    <row r="15" customFormat="false" ht="15" hidden="false" customHeight="true" outlineLevel="0" collapsed="false">
      <c r="B15" s="2" t="s">
        <v>7</v>
      </c>
      <c r="C15" s="2" t="s">
        <v>19</v>
      </c>
      <c r="D15" s="4" t="n">
        <v>428</v>
      </c>
      <c r="E15" s="1" t="str">
        <f aca="false">B15&amp;C15</f>
        <v>2000604040</v>
      </c>
      <c r="F15" s="5" t="n">
        <f aca="false">IFERROR(VLOOKUP(E15,'Legacy Data'!$C$2:$D$1702,2,FALSE()),"No legacy match")</f>
        <v>428</v>
      </c>
      <c r="G15" s="5" t="n">
        <f aca="false">IFERROR(F15-D15,"N/A")</f>
        <v>0</v>
      </c>
      <c r="H15" s="1" t="str">
        <f aca="false">IF(ISNUMBER(G15),IF(G15=0,"Match","Variance"),"Check")</f>
        <v>Match</v>
      </c>
    </row>
    <row r="16" customFormat="false" ht="15" hidden="false" customHeight="true" outlineLevel="0" collapsed="false">
      <c r="B16" s="2" t="s">
        <v>7</v>
      </c>
      <c r="C16" s="2" t="s">
        <v>20</v>
      </c>
      <c r="D16" s="4" t="n">
        <v>0</v>
      </c>
      <c r="E16" s="1" t="str">
        <f aca="false">B16&amp;C16</f>
        <v>2000910001</v>
      </c>
      <c r="F16" s="5" t="n">
        <f aca="false">IFERROR(VLOOKUP(E16,'Legacy Data'!$C$2:$D$1702,2,FALSE()),"No legacy match")</f>
        <v>0</v>
      </c>
      <c r="G16" s="5" t="n">
        <f aca="false">IFERROR(F16-D16,"N/A")</f>
        <v>0</v>
      </c>
      <c r="H16" s="1" t="str">
        <f aca="false">IF(ISNUMBER(G16),IF(G16=0,"Match","Variance"),"Check")</f>
        <v>Match</v>
      </c>
    </row>
    <row r="17" customFormat="false" ht="15" hidden="false" customHeight="true" outlineLevel="0" collapsed="false">
      <c r="B17" s="2" t="s">
        <v>7</v>
      </c>
      <c r="C17" s="2" t="s">
        <v>21</v>
      </c>
      <c r="D17" s="4" t="n">
        <v>0</v>
      </c>
      <c r="E17" s="1" t="str">
        <f aca="false">B17&amp;C17</f>
        <v>2000604020</v>
      </c>
      <c r="F17" s="5" t="n">
        <f aca="false">IFERROR(VLOOKUP(E17,'Legacy Data'!$C$2:$D$1702,2,FALSE()),"No legacy match")</f>
        <v>0</v>
      </c>
      <c r="G17" s="5" t="n">
        <f aca="false">IFERROR(F17-D17,"N/A")</f>
        <v>0</v>
      </c>
      <c r="H17" s="1" t="str">
        <f aca="false">IF(ISNUMBER(G17),IF(G17=0,"Match","Variance"),"Check")</f>
        <v>Match</v>
      </c>
    </row>
    <row r="18" customFormat="false" ht="15" hidden="false" customHeight="true" outlineLevel="0" collapsed="false">
      <c r="B18" s="2" t="s">
        <v>7</v>
      </c>
      <c r="C18" s="2" t="s">
        <v>22</v>
      </c>
      <c r="D18" s="4" t="n">
        <v>0</v>
      </c>
      <c r="E18" s="1" t="str">
        <f aca="false">B18&amp;C18</f>
        <v>2000604010</v>
      </c>
      <c r="F18" s="5" t="n">
        <f aca="false">IFERROR(VLOOKUP(E18,'Legacy Data'!$C$2:$D$1702,2,FALSE()),"No legacy match")</f>
        <v>0</v>
      </c>
      <c r="G18" s="5" t="n">
        <f aca="false">IFERROR(F18-D18,"N/A")</f>
        <v>0</v>
      </c>
      <c r="H18" s="1" t="str">
        <f aca="false">IF(ISNUMBER(G18),IF(G18=0,"Match","Variance"),"Check")</f>
        <v>Match</v>
      </c>
    </row>
    <row r="19" customFormat="false" ht="15" hidden="false" customHeight="true" outlineLevel="0" collapsed="false">
      <c r="B19" s="2" t="s">
        <v>7</v>
      </c>
      <c r="C19" s="2" t="s">
        <v>23</v>
      </c>
      <c r="D19" s="4" t="n">
        <v>250</v>
      </c>
      <c r="E19" s="1" t="str">
        <f aca="false">B19&amp;C19</f>
        <v>2000608020</v>
      </c>
      <c r="F19" s="5" t="n">
        <f aca="false">IFERROR(VLOOKUP(E19,'Legacy Data'!$C$2:$D$1702,2,FALSE()),"No legacy match")</f>
        <v>250</v>
      </c>
      <c r="G19" s="5" t="n">
        <f aca="false">IFERROR(F19-D19,"N/A")</f>
        <v>0</v>
      </c>
      <c r="H19" s="1" t="str">
        <f aca="false">IF(ISNUMBER(G19),IF(G19=0,"Match","Variance"),"Check")</f>
        <v>Match</v>
      </c>
    </row>
    <row r="20" customFormat="false" ht="15" hidden="false" customHeight="true" outlineLevel="0" collapsed="false">
      <c r="B20" s="2" t="s">
        <v>7</v>
      </c>
      <c r="C20" s="2" t="s">
        <v>24</v>
      </c>
      <c r="D20" s="4" t="n">
        <v>49677.72</v>
      </c>
      <c r="E20" s="1" t="str">
        <f aca="false">B20&amp;C20</f>
        <v>2000609004</v>
      </c>
      <c r="F20" s="5" t="n">
        <f aca="false">IFERROR(VLOOKUP(E20,'Legacy Data'!$C$2:$D$1702,2,FALSE()),"No legacy match")</f>
        <v>49677.72</v>
      </c>
      <c r="G20" s="5" t="n">
        <f aca="false">IFERROR(F20-D20,"N/A")</f>
        <v>0</v>
      </c>
      <c r="H20" s="1" t="str">
        <f aca="false">IF(ISNUMBER(G20),IF(G20=0,"Match","Variance"),"Check")</f>
        <v>Match</v>
      </c>
    </row>
    <row r="21" customFormat="false" ht="15.75" hidden="false" customHeight="true" outlineLevel="0" collapsed="false">
      <c r="B21" s="2" t="s">
        <v>7</v>
      </c>
      <c r="C21" s="2" t="s">
        <v>25</v>
      </c>
      <c r="D21" s="4" t="n">
        <v>6075.35</v>
      </c>
      <c r="E21" s="1" t="str">
        <f aca="false">B21&amp;C21</f>
        <v>2000609005</v>
      </c>
      <c r="F21" s="5" t="n">
        <f aca="false">IFERROR(VLOOKUP(E21,'Legacy Data'!$C$2:$D$1702,2,FALSE()),"No legacy match")</f>
        <v>6075.35</v>
      </c>
      <c r="G21" s="5" t="n">
        <f aca="false">IFERROR(F21-D21,"N/A")</f>
        <v>0</v>
      </c>
      <c r="H21" s="1" t="str">
        <f aca="false">IF(ISNUMBER(G21),IF(G21=0,"Match","Variance"),"Check")</f>
        <v>Match</v>
      </c>
    </row>
    <row r="22" customFormat="false" ht="15.75" hidden="false" customHeight="true" outlineLevel="0" collapsed="false">
      <c r="B22" s="2" t="s">
        <v>7</v>
      </c>
      <c r="C22" s="2" t="s">
        <v>26</v>
      </c>
      <c r="D22" s="4" t="n">
        <v>1261.6</v>
      </c>
      <c r="E22" s="1" t="str">
        <f aca="false">B22&amp;C22</f>
        <v>2000609006</v>
      </c>
      <c r="F22" s="5" t="n">
        <f aca="false">IFERROR(VLOOKUP(E22,'Legacy Data'!$C$2:$D$1702,2,FALSE()),"No legacy match")</f>
        <v>1261.6</v>
      </c>
      <c r="G22" s="5" t="n">
        <f aca="false">IFERROR(F22-D22,"N/A")</f>
        <v>0</v>
      </c>
      <c r="H22" s="1" t="str">
        <f aca="false">IF(ISNUMBER(G22),IF(G22=0,"Match","Variance"),"Check")</f>
        <v>Match</v>
      </c>
    </row>
    <row r="23" customFormat="false" ht="15.75" hidden="false" customHeight="true" outlineLevel="0" collapsed="false">
      <c r="B23" s="2" t="s">
        <v>7</v>
      </c>
      <c r="C23" s="2" t="s">
        <v>27</v>
      </c>
      <c r="D23" s="4" t="n">
        <v>4247.32</v>
      </c>
      <c r="E23" s="1" t="str">
        <f aca="false">B23&amp;C23</f>
        <v>2000609002</v>
      </c>
      <c r="F23" s="5" t="n">
        <f aca="false">IFERROR(VLOOKUP(E23,'Legacy Data'!$C$2:$D$1702,2,FALSE()),"No legacy match")</f>
        <v>4247.32</v>
      </c>
      <c r="G23" s="5" t="n">
        <f aca="false">IFERROR(F23-D23,"N/A")</f>
        <v>0</v>
      </c>
      <c r="H23" s="1" t="str">
        <f aca="false">IF(ISNUMBER(G23),IF(G23=0,"Match","Variance"),"Check")</f>
        <v>Match</v>
      </c>
    </row>
    <row r="24" customFormat="false" ht="15.75" hidden="false" customHeight="true" outlineLevel="0" collapsed="false">
      <c r="B24" s="2" t="s">
        <v>7</v>
      </c>
      <c r="C24" s="2" t="s">
        <v>28</v>
      </c>
      <c r="D24" s="4" t="n">
        <v>32609.81</v>
      </c>
      <c r="E24" s="1" t="str">
        <f aca="false">B24&amp;C24</f>
        <v>2000609003</v>
      </c>
      <c r="F24" s="5" t="n">
        <f aca="false">IFERROR(VLOOKUP(E24,'Legacy Data'!$C$2:$D$1702,2,FALSE()),"No legacy match")</f>
        <v>32609.81</v>
      </c>
      <c r="G24" s="5" t="n">
        <f aca="false">IFERROR(F24-D24,"N/A")</f>
        <v>0</v>
      </c>
      <c r="H24" s="1" t="str">
        <f aca="false">IF(ISNUMBER(G24),IF(G24=0,"Match","Variance"),"Check")</f>
        <v>Match</v>
      </c>
    </row>
    <row r="25" customFormat="false" ht="15.75" hidden="false" customHeight="true" outlineLevel="0" collapsed="false">
      <c r="B25" s="2" t="s">
        <v>7</v>
      </c>
      <c r="C25" s="2" t="s">
        <v>29</v>
      </c>
      <c r="D25" s="4" t="n">
        <v>-48.92</v>
      </c>
      <c r="E25" s="1" t="str">
        <f aca="false">B25&amp;C25</f>
        <v>2000609009</v>
      </c>
      <c r="F25" s="5" t="n">
        <f aca="false">IFERROR(VLOOKUP(E25,'Legacy Data'!$C$2:$D$1702,2,FALSE()),"No legacy match")</f>
        <v>-48.92</v>
      </c>
      <c r="G25" s="5" t="n">
        <f aca="false">IFERROR(F25-D25,"N/A")</f>
        <v>0</v>
      </c>
      <c r="H25" s="1" t="str">
        <f aca="false">IF(ISNUMBER(G25),IF(G25=0,"Match","Variance"),"Check")</f>
        <v>Match</v>
      </c>
    </row>
    <row r="26" customFormat="false" ht="15.75" hidden="false" customHeight="true" outlineLevel="0" collapsed="false">
      <c r="B26" s="2" t="s">
        <v>7</v>
      </c>
      <c r="C26" s="2" t="s">
        <v>30</v>
      </c>
      <c r="D26" s="4" t="n">
        <v>902.1</v>
      </c>
      <c r="E26" s="1" t="str">
        <f aca="false">B26&amp;C26</f>
        <v>2000609010</v>
      </c>
      <c r="F26" s="5" t="n">
        <f aca="false">IFERROR(VLOOKUP(E26,'Legacy Data'!$C$2:$D$1702,2,FALSE()),"No legacy match")</f>
        <v>902.1</v>
      </c>
      <c r="G26" s="5" t="n">
        <f aca="false">IFERROR(F26-D26,"N/A")</f>
        <v>0</v>
      </c>
      <c r="H26" s="1" t="str">
        <f aca="false">IF(ISNUMBER(G26),IF(G26=0,"Match","Variance"),"Check")</f>
        <v>Match</v>
      </c>
    </row>
    <row r="27" customFormat="false" ht="15.75" hidden="false" customHeight="true" outlineLevel="0" collapsed="false">
      <c r="B27" s="2" t="s">
        <v>7</v>
      </c>
      <c r="C27" s="2" t="s">
        <v>31</v>
      </c>
      <c r="D27" s="4" t="n">
        <v>136863.01</v>
      </c>
      <c r="E27" s="1" t="str">
        <f aca="false">B27&amp;C27</f>
        <v>2000607000</v>
      </c>
      <c r="F27" s="5" t="n">
        <f aca="false">IFERROR(VLOOKUP(E27,'Legacy Data'!$C$2:$D$1702,2,FALSE()),"No legacy match")</f>
        <v>136863.01</v>
      </c>
      <c r="G27" s="5" t="n">
        <f aca="false">IFERROR(F27-D27,"N/A")</f>
        <v>0</v>
      </c>
      <c r="H27" s="1" t="str">
        <f aca="false">IF(ISNUMBER(G27),IF(G27=0,"Match","Variance"),"Check")</f>
        <v>Match</v>
      </c>
    </row>
    <row r="28" customFormat="false" ht="15.75" hidden="false" customHeight="true" outlineLevel="0" collapsed="false">
      <c r="B28" s="2" t="s">
        <v>7</v>
      </c>
      <c r="C28" s="2" t="s">
        <v>32</v>
      </c>
      <c r="D28" s="4" t="n">
        <v>441.47</v>
      </c>
      <c r="E28" s="1" t="str">
        <f aca="false">B28&amp;C28</f>
        <v>2000607010</v>
      </c>
      <c r="F28" s="5" t="n">
        <f aca="false">IFERROR(VLOOKUP(E28,'Legacy Data'!$C$2:$D$1702,2,FALSE()),"No legacy match")</f>
        <v>441.47</v>
      </c>
      <c r="G28" s="5" t="n">
        <f aca="false">IFERROR(F28-D28,"N/A")</f>
        <v>0</v>
      </c>
      <c r="H28" s="1" t="str">
        <f aca="false">IF(ISNUMBER(G28),IF(G28=0,"Match","Variance"),"Check")</f>
        <v>Match</v>
      </c>
    </row>
    <row r="29" customFormat="false" ht="15.75" hidden="false" customHeight="true" outlineLevel="0" collapsed="false">
      <c r="B29" s="2" t="s">
        <v>7</v>
      </c>
      <c r="C29" s="2" t="s">
        <v>33</v>
      </c>
      <c r="D29" s="4" t="n">
        <v>1463879.12</v>
      </c>
      <c r="E29" s="1" t="str">
        <f aca="false">B29&amp;C29</f>
        <v>2000604031</v>
      </c>
      <c r="F29" s="5" t="n">
        <f aca="false">IFERROR(VLOOKUP(E29,'Legacy Data'!$C$2:$D$1702,2,FALSE()),"No legacy match")</f>
        <v>1463879.12</v>
      </c>
      <c r="G29" s="5" t="n">
        <f aca="false">IFERROR(F29-D29,"N/A")</f>
        <v>0</v>
      </c>
      <c r="H29" s="1" t="str">
        <f aca="false">IF(ISNUMBER(G29),IF(G29=0,"Match","Variance"),"Check")</f>
        <v>Match</v>
      </c>
    </row>
    <row r="30" customFormat="false" ht="15.75" hidden="false" customHeight="true" outlineLevel="0" collapsed="false">
      <c r="B30" s="2" t="s">
        <v>7</v>
      </c>
      <c r="C30" s="2" t="s">
        <v>34</v>
      </c>
      <c r="D30" s="4" t="n">
        <v>0</v>
      </c>
      <c r="E30" s="1" t="str">
        <f aca="false">B30&amp;C30</f>
        <v>2000910002</v>
      </c>
      <c r="F30" s="5" t="n">
        <f aca="false">IFERROR(VLOOKUP(E30,'Legacy Data'!$C$2:$D$1702,2,FALSE()),"No legacy match")</f>
        <v>0</v>
      </c>
      <c r="G30" s="5" t="n">
        <f aca="false">IFERROR(F30-D30,"N/A")</f>
        <v>0</v>
      </c>
      <c r="H30" s="1" t="str">
        <f aca="false">IF(ISNUMBER(G30),IF(G30=0,"Match","Variance"),"Check")</f>
        <v>Match</v>
      </c>
    </row>
    <row r="31" customFormat="false" ht="15.75" hidden="false" customHeight="true" outlineLevel="0" collapsed="false">
      <c r="B31" s="2" t="s">
        <v>7</v>
      </c>
      <c r="C31" s="2" t="s">
        <v>35</v>
      </c>
      <c r="D31" s="4" t="n">
        <v>0</v>
      </c>
      <c r="E31" s="1" t="str">
        <f aca="false">B31&amp;C31</f>
        <v>2000910004</v>
      </c>
      <c r="F31" s="5" t="n">
        <f aca="false">IFERROR(VLOOKUP(E31,'Legacy Data'!$C$2:$D$1702,2,FALSE()),"No legacy match")</f>
        <v>0</v>
      </c>
      <c r="G31" s="5" t="n">
        <f aca="false">IFERROR(F31-D31,"N/A")</f>
        <v>0</v>
      </c>
      <c r="H31" s="1" t="str">
        <f aca="false">IF(ISNUMBER(G31),IF(G31=0,"Match","Variance"),"Check")</f>
        <v>Match</v>
      </c>
    </row>
    <row r="32" customFormat="false" ht="15.75" hidden="false" customHeight="true" outlineLevel="0" collapsed="false">
      <c r="B32" s="2" t="s">
        <v>36</v>
      </c>
      <c r="C32" s="2" t="s">
        <v>37</v>
      </c>
      <c r="D32" s="4" t="n">
        <v>52.59</v>
      </c>
      <c r="E32" s="1" t="str">
        <f aca="false">B32&amp;C32</f>
        <v>2200609008</v>
      </c>
      <c r="F32" s="5" t="n">
        <f aca="false">IFERROR(VLOOKUP(E32,'Legacy Data'!$C$2:$D$1702,2,FALSE()),"No legacy match")</f>
        <v>52.59</v>
      </c>
      <c r="G32" s="5" t="n">
        <f aca="false">IFERROR(F32-D32,"N/A")</f>
        <v>0</v>
      </c>
      <c r="H32" s="1" t="str">
        <f aca="false">IF(ISNUMBER(G32),IF(G32=0,"Match","Variance"),"Check")</f>
        <v>Match</v>
      </c>
    </row>
    <row r="33" customFormat="false" ht="15.75" hidden="false" customHeight="true" outlineLevel="0" collapsed="false">
      <c r="B33" s="2" t="s">
        <v>38</v>
      </c>
      <c r="C33" s="2" t="s">
        <v>37</v>
      </c>
      <c r="D33" s="4" t="n">
        <v>90995.66</v>
      </c>
      <c r="E33" s="1" t="str">
        <f aca="false">B33&amp;C33</f>
        <v>2500609008</v>
      </c>
      <c r="F33" s="5" t="n">
        <f aca="false">IFERROR(VLOOKUP(E33,'Legacy Data'!$C$2:$D$1702,2,FALSE()),"No legacy match")</f>
        <v>90995.66</v>
      </c>
      <c r="G33" s="5" t="n">
        <f aca="false">IFERROR(F33-D33,"N/A")</f>
        <v>0</v>
      </c>
      <c r="H33" s="1" t="str">
        <f aca="false">IF(ISNUMBER(G33),IF(G33=0,"Match","Variance"),"Check")</f>
        <v>Match</v>
      </c>
    </row>
    <row r="34" customFormat="false" ht="15.75" hidden="false" customHeight="true" outlineLevel="0" collapsed="false">
      <c r="B34" s="2" t="s">
        <v>38</v>
      </c>
      <c r="C34" s="2" t="s">
        <v>27</v>
      </c>
      <c r="D34" s="4" t="n">
        <v>0</v>
      </c>
      <c r="E34" s="1" t="str">
        <f aca="false">B34&amp;C34</f>
        <v>2500609002</v>
      </c>
      <c r="F34" s="5" t="n">
        <f aca="false">IFERROR(VLOOKUP(E34,'Legacy Data'!$C$2:$D$1702,2,FALSE()),"No legacy match")</f>
        <v>0</v>
      </c>
      <c r="G34" s="5" t="n">
        <f aca="false">IFERROR(F34-D34,"N/A")</f>
        <v>0</v>
      </c>
      <c r="H34" s="1" t="str">
        <f aca="false">IF(ISNUMBER(G34),IF(G34=0,"Match","Variance"),"Check")</f>
        <v>Match</v>
      </c>
    </row>
    <row r="35" customFormat="false" ht="15.75" hidden="false" customHeight="true" outlineLevel="0" collapsed="false">
      <c r="B35" s="2" t="s">
        <v>38</v>
      </c>
      <c r="C35" s="2" t="s">
        <v>39</v>
      </c>
      <c r="D35" s="4" t="n">
        <v>16993.1</v>
      </c>
      <c r="E35" s="1" t="str">
        <f aca="false">B35&amp;C35</f>
        <v>2500609012</v>
      </c>
      <c r="F35" s="5" t="n">
        <f aca="false">IFERROR(VLOOKUP(E35,'Legacy Data'!$C$2:$D$1702,2,FALSE()),"No legacy match")</f>
        <v>16993.1</v>
      </c>
      <c r="G35" s="5" t="n">
        <f aca="false">IFERROR(F35-D35,"N/A")</f>
        <v>0</v>
      </c>
      <c r="H35" s="1" t="str">
        <f aca="false">IF(ISNUMBER(G35),IF(G35=0,"Match","Variance"),"Check")</f>
        <v>Match</v>
      </c>
    </row>
    <row r="36" customFormat="false" ht="15.75" hidden="false" customHeight="true" outlineLevel="0" collapsed="false">
      <c r="B36" s="2" t="s">
        <v>40</v>
      </c>
      <c r="C36" s="2" t="s">
        <v>8</v>
      </c>
      <c r="D36" s="4" t="n">
        <v>20646088.19</v>
      </c>
      <c r="E36" s="1" t="str">
        <f aca="false">B36&amp;C36</f>
        <v>3100602000</v>
      </c>
      <c r="F36" s="5" t="n">
        <f aca="false">IFERROR(VLOOKUP(E36,'Legacy Data'!$C$2:$D$1702,2,FALSE()),"No legacy match")</f>
        <v>20646088.19</v>
      </c>
      <c r="G36" s="5" t="n">
        <f aca="false">IFERROR(F36-D36,"N/A")</f>
        <v>0</v>
      </c>
      <c r="H36" s="1" t="str">
        <f aca="false">IF(ISNUMBER(G36),IF(G36=0,"Match","Variance"),"Check")</f>
        <v>Match</v>
      </c>
    </row>
    <row r="37" customFormat="false" ht="15.75" hidden="false" customHeight="true" outlineLevel="0" collapsed="false">
      <c r="B37" s="2" t="s">
        <v>40</v>
      </c>
      <c r="C37" s="2" t="s">
        <v>41</v>
      </c>
      <c r="D37" s="4" t="n">
        <v>737954.55</v>
      </c>
      <c r="E37" s="1" t="str">
        <f aca="false">B37&amp;C37</f>
        <v>3100602002</v>
      </c>
      <c r="F37" s="5" t="n">
        <f aca="false">IFERROR(VLOOKUP(E37,'Legacy Data'!$C$2:$D$1702,2,FALSE()),"No legacy match")</f>
        <v>737954.55</v>
      </c>
      <c r="G37" s="5" t="n">
        <f aca="false">IFERROR(F37-D37,"N/A")</f>
        <v>0</v>
      </c>
      <c r="H37" s="1" t="str">
        <f aca="false">IF(ISNUMBER(G37),IF(G37=0,"Match","Variance"),"Check")</f>
        <v>Match</v>
      </c>
    </row>
    <row r="38" customFormat="false" ht="15.75" hidden="false" customHeight="true" outlineLevel="0" collapsed="false">
      <c r="B38" s="2" t="s">
        <v>40</v>
      </c>
      <c r="C38" s="2" t="s">
        <v>9</v>
      </c>
      <c r="D38" s="4" t="n">
        <v>168165.3</v>
      </c>
      <c r="E38" s="1" t="str">
        <f aca="false">B38&amp;C38</f>
        <v>3100602003</v>
      </c>
      <c r="F38" s="5" t="n">
        <f aca="false">IFERROR(VLOOKUP(E38,'Legacy Data'!$C$2:$D$1702,2,FALSE()),"No legacy match")</f>
        <v>168165.3</v>
      </c>
      <c r="G38" s="5" t="n">
        <f aca="false">IFERROR(F38-D38,"N/A")</f>
        <v>0</v>
      </c>
      <c r="H38" s="1" t="str">
        <f aca="false">IF(ISNUMBER(G38),IF(G38=0,"Match","Variance"),"Check")</f>
        <v>Match</v>
      </c>
    </row>
    <row r="39" customFormat="false" ht="15.75" hidden="false" customHeight="true" outlineLevel="0" collapsed="false">
      <c r="B39" s="2" t="s">
        <v>40</v>
      </c>
      <c r="C39" s="2" t="s">
        <v>10</v>
      </c>
      <c r="D39" s="4" t="n">
        <v>41455.26</v>
      </c>
      <c r="E39" s="1" t="str">
        <f aca="false">B39&amp;C39</f>
        <v>3100602004</v>
      </c>
      <c r="F39" s="5" t="n">
        <f aca="false">IFERROR(VLOOKUP(E39,'Legacy Data'!$C$2:$D$1702,2,FALSE()),"No legacy match")</f>
        <v>41455.26</v>
      </c>
      <c r="G39" s="5" t="n">
        <f aca="false">IFERROR(F39-D39,"N/A")</f>
        <v>0</v>
      </c>
      <c r="H39" s="1" t="str">
        <f aca="false">IF(ISNUMBER(G39),IF(G39=0,"Match","Variance"),"Check")</f>
        <v>Match</v>
      </c>
    </row>
    <row r="40" customFormat="false" ht="15.75" hidden="false" customHeight="true" outlineLevel="0" collapsed="false">
      <c r="B40" s="2" t="s">
        <v>40</v>
      </c>
      <c r="C40" s="2" t="s">
        <v>12</v>
      </c>
      <c r="D40" s="4" t="n">
        <v>1902105.73</v>
      </c>
      <c r="E40" s="1" t="str">
        <f aca="false">B40&amp;C40</f>
        <v>3100602010</v>
      </c>
      <c r="F40" s="5" t="n">
        <f aca="false">IFERROR(VLOOKUP(E40,'Legacy Data'!$C$2:$D$1702,2,FALSE()),"No legacy match")</f>
        <v>1902105.73</v>
      </c>
      <c r="G40" s="5" t="n">
        <f aca="false">IFERROR(F40-D40,"N/A")</f>
        <v>0</v>
      </c>
      <c r="H40" s="1" t="str">
        <f aca="false">IF(ISNUMBER(G40),IF(G40=0,"Match","Variance"),"Check")</f>
        <v>Match</v>
      </c>
    </row>
    <row r="41" customFormat="false" ht="15.75" hidden="false" customHeight="true" outlineLevel="0" collapsed="false">
      <c r="B41" s="2" t="s">
        <v>40</v>
      </c>
      <c r="C41" s="2" t="s">
        <v>13</v>
      </c>
      <c r="D41" s="4" t="n">
        <v>798776.24</v>
      </c>
      <c r="E41" s="1" t="str">
        <f aca="false">B41&amp;C41</f>
        <v>3100602020</v>
      </c>
      <c r="F41" s="5" t="n">
        <f aca="false">IFERROR(VLOOKUP(E41,'Legacy Data'!$C$2:$D$1702,2,FALSE()),"No legacy match")</f>
        <v>798776.24</v>
      </c>
      <c r="G41" s="5" t="n">
        <f aca="false">IFERROR(F41-D41,"N/A")</f>
        <v>0</v>
      </c>
      <c r="H41" s="1" t="str">
        <f aca="false">IF(ISNUMBER(G41),IF(G41=0,"Match","Variance"),"Check")</f>
        <v>Match</v>
      </c>
    </row>
    <row r="42" customFormat="false" ht="15.75" hidden="false" customHeight="true" outlineLevel="0" collapsed="false">
      <c r="B42" s="2" t="s">
        <v>40</v>
      </c>
      <c r="C42" s="2" t="s">
        <v>14</v>
      </c>
      <c r="D42" s="4" t="n">
        <v>416109.92</v>
      </c>
      <c r="E42" s="1" t="str">
        <f aca="false">B42&amp;C42</f>
        <v>3100602030</v>
      </c>
      <c r="F42" s="5" t="n">
        <f aca="false">IFERROR(VLOOKUP(E42,'Legacy Data'!$C$2:$D$1702,2,FALSE()),"No legacy match")</f>
        <v>416109.92</v>
      </c>
      <c r="G42" s="5" t="n">
        <f aca="false">IFERROR(F42-D42,"N/A")</f>
        <v>0</v>
      </c>
      <c r="H42" s="1" t="str">
        <f aca="false">IF(ISNUMBER(G42),IF(G42=0,"Match","Variance"),"Check")</f>
        <v>Match</v>
      </c>
    </row>
    <row r="43" customFormat="false" ht="15.75" hidden="false" customHeight="true" outlineLevel="0" collapsed="false">
      <c r="B43" s="2" t="s">
        <v>40</v>
      </c>
      <c r="C43" s="2" t="s">
        <v>42</v>
      </c>
      <c r="D43" s="4" t="n">
        <v>709279.42</v>
      </c>
      <c r="E43" s="1" t="str">
        <f aca="false">B43&amp;C43</f>
        <v>3100602040</v>
      </c>
      <c r="F43" s="5" t="n">
        <f aca="false">IFERROR(VLOOKUP(E43,'Legacy Data'!$C$2:$D$1702,2,FALSE()),"No legacy match")</f>
        <v>709279.42</v>
      </c>
      <c r="G43" s="5" t="n">
        <f aca="false">IFERROR(F43-D43,"N/A")</f>
        <v>0</v>
      </c>
      <c r="H43" s="1" t="str">
        <f aca="false">IF(ISNUMBER(G43),IF(G43=0,"Match","Variance"),"Check")</f>
        <v>Match</v>
      </c>
    </row>
    <row r="44" customFormat="false" ht="15.75" hidden="false" customHeight="true" outlineLevel="0" collapsed="false">
      <c r="B44" s="2" t="s">
        <v>40</v>
      </c>
      <c r="C44" s="2" t="s">
        <v>43</v>
      </c>
      <c r="D44" s="4" t="n">
        <v>152036.42</v>
      </c>
      <c r="E44" s="1" t="str">
        <f aca="false">B44&amp;C44</f>
        <v>3100602050</v>
      </c>
      <c r="F44" s="5" t="n">
        <f aca="false">IFERROR(VLOOKUP(E44,'Legacy Data'!$C$2:$D$1702,2,FALSE()),"No legacy match")</f>
        <v>152036.42</v>
      </c>
      <c r="G44" s="5" t="n">
        <f aca="false">IFERROR(F44-D44,"N/A")</f>
        <v>0</v>
      </c>
      <c r="H44" s="1" t="str">
        <f aca="false">IF(ISNUMBER(G44),IF(G44=0,"Match","Variance"),"Check")</f>
        <v>Match</v>
      </c>
    </row>
    <row r="45" customFormat="false" ht="15.75" hidden="false" customHeight="true" outlineLevel="0" collapsed="false">
      <c r="B45" s="2" t="s">
        <v>40</v>
      </c>
      <c r="C45" s="2" t="s">
        <v>44</v>
      </c>
      <c r="D45" s="4" t="n">
        <v>75403.36</v>
      </c>
      <c r="E45" s="1" t="str">
        <f aca="false">B45&amp;C45</f>
        <v>3100602060</v>
      </c>
      <c r="F45" s="5" t="n">
        <f aca="false">IFERROR(VLOOKUP(E45,'Legacy Data'!$C$2:$D$1702,2,FALSE()),"No legacy match")</f>
        <v>75403.36</v>
      </c>
      <c r="G45" s="5" t="n">
        <f aca="false">IFERROR(F45-D45,"N/A")</f>
        <v>0</v>
      </c>
      <c r="H45" s="1" t="str">
        <f aca="false">IF(ISNUMBER(G45),IF(G45=0,"Match","Variance"),"Check")</f>
        <v>Match</v>
      </c>
    </row>
    <row r="46" customFormat="false" ht="15.75" hidden="false" customHeight="true" outlineLevel="0" collapsed="false">
      <c r="B46" s="2" t="s">
        <v>40</v>
      </c>
      <c r="C46" s="2" t="s">
        <v>15</v>
      </c>
      <c r="D46" s="4" t="n">
        <v>6910236.89</v>
      </c>
      <c r="E46" s="1" t="str">
        <f aca="false">B46&amp;C46</f>
        <v>3100602070</v>
      </c>
      <c r="F46" s="5" t="n">
        <f aca="false">IFERROR(VLOOKUP(E46,'Legacy Data'!$C$2:$D$1702,2,FALSE()),"No legacy match")</f>
        <v>6910236.89</v>
      </c>
      <c r="G46" s="5" t="n">
        <f aca="false">IFERROR(F46-D46,"N/A")</f>
        <v>0</v>
      </c>
      <c r="H46" s="1" t="str">
        <f aca="false">IF(ISNUMBER(G46),IF(G46=0,"Match","Variance"),"Check")</f>
        <v>Match</v>
      </c>
    </row>
    <row r="47" customFormat="false" ht="15.75" hidden="false" customHeight="true" outlineLevel="0" collapsed="false">
      <c r="B47" s="2" t="s">
        <v>40</v>
      </c>
      <c r="C47" s="2" t="s">
        <v>45</v>
      </c>
      <c r="D47" s="4" t="n">
        <v>146414.27</v>
      </c>
      <c r="E47" s="1" t="str">
        <f aca="false">B47&amp;C47</f>
        <v>3100602071</v>
      </c>
      <c r="F47" s="5" t="n">
        <f aca="false">IFERROR(VLOOKUP(E47,'Legacy Data'!$C$2:$D$1702,2,FALSE()),"No legacy match")</f>
        <v>146414.27</v>
      </c>
      <c r="G47" s="5" t="n">
        <f aca="false">IFERROR(F47-D47,"N/A")</f>
        <v>0</v>
      </c>
      <c r="H47" s="1" t="str">
        <f aca="false">IF(ISNUMBER(G47),IF(G47=0,"Match","Variance"),"Check")</f>
        <v>Match</v>
      </c>
    </row>
    <row r="48" customFormat="false" ht="15.75" hidden="false" customHeight="true" outlineLevel="0" collapsed="false">
      <c r="B48" s="2" t="s">
        <v>40</v>
      </c>
      <c r="C48" s="2" t="s">
        <v>16</v>
      </c>
      <c r="D48" s="4" t="n">
        <v>1277109.12</v>
      </c>
      <c r="E48" s="1" t="str">
        <f aca="false">B48&amp;C48</f>
        <v>3100602072</v>
      </c>
      <c r="F48" s="5" t="n">
        <f aca="false">IFERROR(VLOOKUP(E48,'Legacy Data'!$C$2:$D$1702,2,FALSE()),"No legacy match")</f>
        <v>1277109.12</v>
      </c>
      <c r="G48" s="5" t="n">
        <f aca="false">IFERROR(F48-D48,"N/A")</f>
        <v>0</v>
      </c>
      <c r="H48" s="1" t="str">
        <f aca="false">IF(ISNUMBER(G48),IF(G48=0,"Match","Variance"),"Check")</f>
        <v>Match</v>
      </c>
    </row>
    <row r="49" customFormat="false" ht="15.75" hidden="false" customHeight="true" outlineLevel="0" collapsed="false">
      <c r="B49" s="2" t="s">
        <v>40</v>
      </c>
      <c r="C49" s="2" t="s">
        <v>46</v>
      </c>
      <c r="D49" s="4" t="n">
        <v>-455.62</v>
      </c>
      <c r="E49" s="1" t="str">
        <f aca="false">B49&amp;C49</f>
        <v>3100602073</v>
      </c>
      <c r="F49" s="5" t="n">
        <f aca="false">IFERROR(VLOOKUP(E49,'Legacy Data'!$C$2:$D$1702,2,FALSE()),"No legacy match")</f>
        <v>-455.62</v>
      </c>
      <c r="G49" s="5" t="n">
        <f aca="false">IFERROR(F49-D49,"N/A")</f>
        <v>0</v>
      </c>
      <c r="H49" s="1" t="str">
        <f aca="false">IF(ISNUMBER(G49),IF(G49=0,"Match","Variance"),"Check")</f>
        <v>Match</v>
      </c>
    </row>
    <row r="50" customFormat="false" ht="15.75" hidden="false" customHeight="true" outlineLevel="0" collapsed="false">
      <c r="B50" s="2" t="s">
        <v>40</v>
      </c>
      <c r="C50" s="2" t="s">
        <v>47</v>
      </c>
      <c r="D50" s="4" t="n">
        <v>2133.64</v>
      </c>
      <c r="E50" s="1" t="str">
        <f aca="false">B50&amp;C50</f>
        <v>3100602074</v>
      </c>
      <c r="F50" s="5" t="n">
        <f aca="false">IFERROR(VLOOKUP(E50,'Legacy Data'!$C$2:$D$1702,2,FALSE()),"No legacy match")</f>
        <v>2133.64</v>
      </c>
      <c r="G50" s="5" t="n">
        <f aca="false">IFERROR(F50-D50,"N/A")</f>
        <v>0</v>
      </c>
      <c r="H50" s="1" t="str">
        <f aca="false">IF(ISNUMBER(G50),IF(G50=0,"Match","Variance"),"Check")</f>
        <v>Match</v>
      </c>
    </row>
    <row r="51" customFormat="false" ht="15.75" hidden="false" customHeight="true" outlineLevel="0" collapsed="false">
      <c r="B51" s="2" t="s">
        <v>40</v>
      </c>
      <c r="C51" s="2" t="s">
        <v>48</v>
      </c>
      <c r="D51" s="4" t="n">
        <v>1468590.31</v>
      </c>
      <c r="E51" s="1" t="str">
        <f aca="false">B51&amp;C51</f>
        <v>3100602080</v>
      </c>
      <c r="F51" s="5" t="n">
        <f aca="false">IFERROR(VLOOKUP(E51,'Legacy Data'!$C$2:$D$1702,2,FALSE()),"No legacy match")</f>
        <v>1468590.31</v>
      </c>
      <c r="G51" s="5" t="n">
        <f aca="false">IFERROR(F51-D51,"N/A")</f>
        <v>0</v>
      </c>
      <c r="H51" s="1" t="str">
        <f aca="false">IF(ISNUMBER(G51),IF(G51=0,"Match","Variance"),"Check")</f>
        <v>Match</v>
      </c>
    </row>
    <row r="52" customFormat="false" ht="15.75" hidden="false" customHeight="true" outlineLevel="0" collapsed="false">
      <c r="B52" s="2" t="s">
        <v>40</v>
      </c>
      <c r="C52" s="2" t="s">
        <v>17</v>
      </c>
      <c r="D52" s="4" t="n">
        <v>2325858.25</v>
      </c>
      <c r="E52" s="1" t="str">
        <f aca="false">B52&amp;C52</f>
        <v>3100603000</v>
      </c>
      <c r="F52" s="5" t="n">
        <f aca="false">IFERROR(VLOOKUP(E52,'Legacy Data'!$C$2:$D$1702,2,FALSE()),"No legacy match")</f>
        <v>2325858.25</v>
      </c>
      <c r="G52" s="5" t="n">
        <f aca="false">IFERROR(F52-D52,"N/A")</f>
        <v>0</v>
      </c>
      <c r="H52" s="1" t="str">
        <f aca="false">IF(ISNUMBER(G52),IF(G52=0,"Match","Variance"),"Check")</f>
        <v>Match</v>
      </c>
    </row>
    <row r="53" customFormat="false" ht="15.75" hidden="false" customHeight="true" outlineLevel="0" collapsed="false">
      <c r="B53" s="2" t="s">
        <v>40</v>
      </c>
      <c r="C53" s="2" t="s">
        <v>18</v>
      </c>
      <c r="D53" s="4" t="n">
        <v>0</v>
      </c>
      <c r="E53" s="1" t="str">
        <f aca="false">B53&amp;C53</f>
        <v>3100910003</v>
      </c>
      <c r="F53" s="5" t="n">
        <f aca="false">IFERROR(VLOOKUP(E53,'Legacy Data'!$C$2:$D$1702,2,FALSE()),"No legacy match")</f>
        <v>0</v>
      </c>
      <c r="G53" s="5" t="n">
        <f aca="false">IFERROR(F53-D53,"N/A")</f>
        <v>0</v>
      </c>
      <c r="H53" s="1" t="str">
        <f aca="false">IF(ISNUMBER(G53),IF(G53=0,"Match","Variance"),"Check")</f>
        <v>Match</v>
      </c>
    </row>
    <row r="54" customFormat="false" ht="15.75" hidden="false" customHeight="true" outlineLevel="0" collapsed="false">
      <c r="B54" s="2" t="s">
        <v>40</v>
      </c>
      <c r="C54" s="2" t="s">
        <v>49</v>
      </c>
      <c r="D54" s="4" t="n">
        <v>20276617.73</v>
      </c>
      <c r="E54" s="1" t="str">
        <f aca="false">B54&amp;C54</f>
        <v>3100604050</v>
      </c>
      <c r="F54" s="5" t="n">
        <f aca="false">IFERROR(VLOOKUP(E54,'Legacy Data'!$C$2:$D$1702,2,FALSE()),"No legacy match")</f>
        <v>20276617.73</v>
      </c>
      <c r="G54" s="5" t="n">
        <f aca="false">IFERROR(F54-D54,"N/A")</f>
        <v>0</v>
      </c>
      <c r="H54" s="1" t="str">
        <f aca="false">IF(ISNUMBER(G54),IF(G54=0,"Match","Variance"),"Check")</f>
        <v>Match</v>
      </c>
    </row>
    <row r="55" customFormat="false" ht="15.75" hidden="false" customHeight="true" outlineLevel="0" collapsed="false">
      <c r="B55" s="2" t="s">
        <v>40</v>
      </c>
      <c r="C55" s="2" t="s">
        <v>19</v>
      </c>
      <c r="D55" s="4" t="n">
        <v>6874962.96</v>
      </c>
      <c r="E55" s="1" t="str">
        <f aca="false">B55&amp;C55</f>
        <v>3100604040</v>
      </c>
      <c r="F55" s="5" t="n">
        <f aca="false">IFERROR(VLOOKUP(E55,'Legacy Data'!$C$2:$D$1702,2,FALSE()),"No legacy match")</f>
        <v>6874962.96</v>
      </c>
      <c r="G55" s="5" t="n">
        <f aca="false">IFERROR(F55-D55,"N/A")</f>
        <v>0</v>
      </c>
      <c r="H55" s="1" t="str">
        <f aca="false">IF(ISNUMBER(G55),IF(G55=0,"Match","Variance"),"Check")</f>
        <v>Match</v>
      </c>
    </row>
    <row r="56" customFormat="false" ht="15.75" hidden="false" customHeight="true" outlineLevel="0" collapsed="false">
      <c r="B56" s="2" t="s">
        <v>40</v>
      </c>
      <c r="C56" s="2" t="s">
        <v>50</v>
      </c>
      <c r="D56" s="4" t="n">
        <v>922425.49</v>
      </c>
      <c r="E56" s="1" t="str">
        <f aca="false">B56&amp;C56</f>
        <v>3100604060</v>
      </c>
      <c r="F56" s="5" t="n">
        <f aca="false">IFERROR(VLOOKUP(E56,'Legacy Data'!$C$2:$D$1702,2,FALSE()),"No legacy match")</f>
        <v>922425.49</v>
      </c>
      <c r="G56" s="5" t="n">
        <f aca="false">IFERROR(F56-D56,"N/A")</f>
        <v>0</v>
      </c>
      <c r="H56" s="1" t="str">
        <f aca="false">IF(ISNUMBER(G56),IF(G56=0,"Match","Variance"),"Check")</f>
        <v>Match</v>
      </c>
    </row>
    <row r="57" customFormat="false" ht="15.75" hidden="false" customHeight="true" outlineLevel="0" collapsed="false">
      <c r="B57" s="2" t="s">
        <v>40</v>
      </c>
      <c r="C57" s="2" t="s">
        <v>20</v>
      </c>
      <c r="D57" s="4" t="n">
        <v>0</v>
      </c>
      <c r="E57" s="1" t="str">
        <f aca="false">B57&amp;C57</f>
        <v>3100910001</v>
      </c>
      <c r="F57" s="5" t="n">
        <f aca="false">IFERROR(VLOOKUP(E57,'Legacy Data'!$C$2:$D$1702,2,FALSE()),"No legacy match")</f>
        <v>0</v>
      </c>
      <c r="G57" s="5" t="n">
        <f aca="false">IFERROR(F57-D57,"N/A")</f>
        <v>0</v>
      </c>
      <c r="H57" s="1" t="str">
        <f aca="false">IF(ISNUMBER(G57),IF(G57=0,"Match","Variance"),"Check")</f>
        <v>Match</v>
      </c>
    </row>
    <row r="58" customFormat="false" ht="15.75" hidden="false" customHeight="true" outlineLevel="0" collapsed="false">
      <c r="B58" s="2" t="s">
        <v>40</v>
      </c>
      <c r="C58" s="2" t="s">
        <v>22</v>
      </c>
      <c r="D58" s="4" t="n">
        <v>96145.28</v>
      </c>
      <c r="E58" s="1" t="str">
        <f aca="false">B58&amp;C58</f>
        <v>3100604010</v>
      </c>
      <c r="F58" s="5" t="n">
        <f aca="false">IFERROR(VLOOKUP(E58,'Legacy Data'!$C$2:$D$1702,2,FALSE()),"No legacy match")</f>
        <v>96145.28</v>
      </c>
      <c r="G58" s="5" t="n">
        <f aca="false">IFERROR(F58-D58,"N/A")</f>
        <v>0</v>
      </c>
      <c r="H58" s="1" t="str">
        <f aca="false">IF(ISNUMBER(G58),IF(G58=0,"Match","Variance"),"Check")</f>
        <v>Match</v>
      </c>
    </row>
    <row r="59" customFormat="false" ht="15.75" hidden="false" customHeight="true" outlineLevel="0" collapsed="false">
      <c r="B59" s="2" t="s">
        <v>40</v>
      </c>
      <c r="C59" s="2" t="s">
        <v>51</v>
      </c>
      <c r="D59" s="4" t="n">
        <v>7360</v>
      </c>
      <c r="E59" s="1" t="str">
        <f aca="false">B59&amp;C59</f>
        <v>3100605000</v>
      </c>
      <c r="F59" s="5" t="n">
        <f aca="false">IFERROR(VLOOKUP(E59,'Legacy Data'!$C$2:$D$1702,2,FALSE()),"No legacy match")</f>
        <v>7360</v>
      </c>
      <c r="G59" s="5" t="n">
        <f aca="false">IFERROR(F59-D59,"N/A")</f>
        <v>0</v>
      </c>
      <c r="H59" s="1" t="str">
        <f aca="false">IF(ISNUMBER(G59),IF(G59=0,"Match","Variance"),"Check")</f>
        <v>Match</v>
      </c>
    </row>
    <row r="60" customFormat="false" ht="15.75" hidden="false" customHeight="true" outlineLevel="0" collapsed="false">
      <c r="B60" s="2" t="s">
        <v>40</v>
      </c>
      <c r="C60" s="2" t="s">
        <v>52</v>
      </c>
      <c r="D60" s="4" t="n">
        <v>7509644</v>
      </c>
      <c r="E60" s="1" t="str">
        <f aca="false">B60&amp;C60</f>
        <v>3100605010</v>
      </c>
      <c r="F60" s="5" t="n">
        <f aca="false">IFERROR(VLOOKUP(E60,'Legacy Data'!$C$2:$D$1702,2,FALSE()),"No legacy match")</f>
        <v>7509644</v>
      </c>
      <c r="G60" s="5" t="n">
        <f aca="false">IFERROR(F60-D60,"N/A")</f>
        <v>0</v>
      </c>
      <c r="H60" s="1" t="str">
        <f aca="false">IF(ISNUMBER(G60),IF(G60=0,"Match","Variance"),"Check")</f>
        <v>Match</v>
      </c>
    </row>
    <row r="61" customFormat="false" ht="15.75" hidden="false" customHeight="true" outlineLevel="0" collapsed="false">
      <c r="B61" s="2" t="s">
        <v>40</v>
      </c>
      <c r="C61" s="2" t="s">
        <v>53</v>
      </c>
      <c r="D61" s="4" t="n">
        <v>170548.59</v>
      </c>
      <c r="E61" s="1" t="str">
        <f aca="false">B61&amp;C61</f>
        <v>3100605020</v>
      </c>
      <c r="F61" s="5" t="n">
        <f aca="false">IFERROR(VLOOKUP(E61,'Legacy Data'!$C$2:$D$1702,2,FALSE()),"No legacy match")</f>
        <v>170548.59</v>
      </c>
      <c r="G61" s="5" t="n">
        <f aca="false">IFERROR(F61-D61,"N/A")</f>
        <v>0</v>
      </c>
      <c r="H61" s="1" t="str">
        <f aca="false">IF(ISNUMBER(G61),IF(G61=0,"Match","Variance"),"Check")</f>
        <v>Match</v>
      </c>
    </row>
    <row r="62" customFormat="false" ht="15.75" hidden="false" customHeight="true" outlineLevel="0" collapsed="false">
      <c r="B62" s="2" t="s">
        <v>40</v>
      </c>
      <c r="C62" s="2" t="s">
        <v>54</v>
      </c>
      <c r="D62" s="4" t="n">
        <v>6237799.63</v>
      </c>
      <c r="E62" s="1" t="str">
        <f aca="false">B62&amp;C62</f>
        <v>3100606000</v>
      </c>
      <c r="F62" s="5" t="n">
        <f aca="false">IFERROR(VLOOKUP(E62,'Legacy Data'!$C$2:$D$1702,2,FALSE()),"No legacy match")</f>
        <v>6237799.63</v>
      </c>
      <c r="G62" s="5" t="n">
        <f aca="false">IFERROR(F62-D62,"N/A")</f>
        <v>0</v>
      </c>
      <c r="H62" s="1" t="str">
        <f aca="false">IF(ISNUMBER(G62),IF(G62=0,"Match","Variance"),"Check")</f>
        <v>Match</v>
      </c>
    </row>
    <row r="63" customFormat="false" ht="15.75" hidden="false" customHeight="true" outlineLevel="0" collapsed="false">
      <c r="B63" s="2" t="s">
        <v>40</v>
      </c>
      <c r="C63" s="2" t="s">
        <v>55</v>
      </c>
      <c r="D63" s="4" t="n">
        <v>933520.96</v>
      </c>
      <c r="E63" s="1" t="str">
        <f aca="false">B63&amp;C63</f>
        <v>3100606010</v>
      </c>
      <c r="F63" s="5" t="n">
        <f aca="false">IFERROR(VLOOKUP(E63,'Legacy Data'!$C$2:$D$1702,2,FALSE()),"No legacy match")</f>
        <v>933520.96</v>
      </c>
      <c r="G63" s="5" t="n">
        <f aca="false">IFERROR(F63-D63,"N/A")</f>
        <v>0</v>
      </c>
      <c r="H63" s="1" t="str">
        <f aca="false">IF(ISNUMBER(G63),IF(G63=0,"Match","Variance"),"Check")</f>
        <v>Match</v>
      </c>
    </row>
    <row r="64" customFormat="false" ht="15.75" hidden="false" customHeight="true" outlineLevel="0" collapsed="false">
      <c r="B64" s="2" t="s">
        <v>40</v>
      </c>
      <c r="C64" s="2" t="s">
        <v>56</v>
      </c>
      <c r="D64" s="4" t="n">
        <v>2423476.85</v>
      </c>
      <c r="E64" s="1" t="str">
        <f aca="false">B64&amp;C64</f>
        <v>3100606020</v>
      </c>
      <c r="F64" s="5" t="n">
        <f aca="false">IFERROR(VLOOKUP(E64,'Legacy Data'!$C$2:$D$1702,2,FALSE()),"No legacy match")</f>
        <v>2423476.85</v>
      </c>
      <c r="G64" s="5" t="n">
        <f aca="false">IFERROR(F64-D64,"N/A")</f>
        <v>0</v>
      </c>
      <c r="H64" s="1" t="str">
        <f aca="false">IF(ISNUMBER(G64),IF(G64=0,"Match","Variance"),"Check")</f>
        <v>Match</v>
      </c>
    </row>
    <row r="65" customFormat="false" ht="15.75" hidden="false" customHeight="true" outlineLevel="0" collapsed="false">
      <c r="B65" s="2" t="s">
        <v>40</v>
      </c>
      <c r="C65" s="2" t="s">
        <v>57</v>
      </c>
      <c r="D65" s="4" t="n">
        <v>1901961.24</v>
      </c>
      <c r="E65" s="1" t="str">
        <f aca="false">B65&amp;C65</f>
        <v>3100606030</v>
      </c>
      <c r="F65" s="5" t="n">
        <f aca="false">IFERROR(VLOOKUP(E65,'Legacy Data'!$C$2:$D$1702,2,FALSE()),"No legacy match")</f>
        <v>1901961.24</v>
      </c>
      <c r="G65" s="5" t="n">
        <f aca="false">IFERROR(F65-D65,"N/A")</f>
        <v>0</v>
      </c>
      <c r="H65" s="1" t="str">
        <f aca="false">IF(ISNUMBER(G65),IF(G65=0,"Match","Variance"),"Check")</f>
        <v>Match</v>
      </c>
    </row>
    <row r="66" customFormat="false" ht="15.75" hidden="false" customHeight="true" outlineLevel="0" collapsed="false">
      <c r="B66" s="2" t="s">
        <v>40</v>
      </c>
      <c r="C66" s="2" t="s">
        <v>58</v>
      </c>
      <c r="D66" s="4" t="n">
        <v>853922.14</v>
      </c>
      <c r="E66" s="1" t="str">
        <f aca="false">B66&amp;C66</f>
        <v>3100606031</v>
      </c>
      <c r="F66" s="5" t="n">
        <f aca="false">IFERROR(VLOOKUP(E66,'Legacy Data'!$C$2:$D$1702,2,FALSE()),"No legacy match")</f>
        <v>853922.14</v>
      </c>
      <c r="G66" s="5" t="n">
        <f aca="false">IFERROR(F66-D66,"N/A")</f>
        <v>0</v>
      </c>
      <c r="H66" s="1" t="str">
        <f aca="false">IF(ISNUMBER(G66),IF(G66=0,"Match","Variance"),"Check")</f>
        <v>Match</v>
      </c>
    </row>
    <row r="67" customFormat="false" ht="15.75" hidden="false" customHeight="true" outlineLevel="0" collapsed="false">
      <c r="B67" s="2" t="s">
        <v>40</v>
      </c>
      <c r="C67" s="2" t="s">
        <v>59</v>
      </c>
      <c r="D67" s="4" t="n">
        <v>3116.32</v>
      </c>
      <c r="E67" s="1" t="str">
        <f aca="false">B67&amp;C67</f>
        <v>3100608010</v>
      </c>
      <c r="F67" s="5" t="n">
        <f aca="false">IFERROR(VLOOKUP(E67,'Legacy Data'!$C$2:$D$1702,2,FALSE()),"No legacy match")</f>
        <v>3116.32</v>
      </c>
      <c r="G67" s="5" t="n">
        <f aca="false">IFERROR(F67-D67,"N/A")</f>
        <v>0</v>
      </c>
      <c r="H67" s="1" t="str">
        <f aca="false">IF(ISNUMBER(G67),IF(G67=0,"Match","Variance"),"Check")</f>
        <v>Match</v>
      </c>
    </row>
    <row r="68" customFormat="false" ht="15.75" hidden="false" customHeight="true" outlineLevel="0" collapsed="false">
      <c r="B68" s="2" t="s">
        <v>40</v>
      </c>
      <c r="C68" s="2" t="s">
        <v>23</v>
      </c>
      <c r="D68" s="4" t="n">
        <v>569627.17</v>
      </c>
      <c r="E68" s="1" t="str">
        <f aca="false">B68&amp;C68</f>
        <v>3100608020</v>
      </c>
      <c r="F68" s="5" t="n">
        <f aca="false">IFERROR(VLOOKUP(E68,'Legacy Data'!$C$2:$D$1702,2,FALSE()),"No legacy match")</f>
        <v>569627.17</v>
      </c>
      <c r="G68" s="5" t="n">
        <f aca="false">IFERROR(F68-D68,"N/A")</f>
        <v>0</v>
      </c>
      <c r="H68" s="1" t="str">
        <f aca="false">IF(ISNUMBER(G68),IF(G68=0,"Match","Variance"),"Check")</f>
        <v>Match</v>
      </c>
    </row>
    <row r="69" customFormat="false" ht="15.75" hidden="false" customHeight="true" outlineLevel="0" collapsed="false">
      <c r="B69" s="2" t="s">
        <v>40</v>
      </c>
      <c r="C69" s="2" t="s">
        <v>60</v>
      </c>
      <c r="D69" s="4" t="n">
        <v>-37328.14</v>
      </c>
      <c r="E69" s="1" t="str">
        <f aca="false">B69&amp;C69</f>
        <v>3100608040</v>
      </c>
      <c r="F69" s="5" t="n">
        <f aca="false">IFERROR(VLOOKUP(E69,'Legacy Data'!$C$2:$D$1702,2,FALSE()),"No legacy match")</f>
        <v>-37328.14</v>
      </c>
      <c r="G69" s="5" t="n">
        <f aca="false">IFERROR(F69-D69,"N/A")</f>
        <v>0</v>
      </c>
      <c r="H69" s="1" t="str">
        <f aca="false">IF(ISNUMBER(G69),IF(G69=0,"Match","Variance"),"Check")</f>
        <v>Match</v>
      </c>
    </row>
    <row r="70" customFormat="false" ht="15.75" hidden="false" customHeight="true" outlineLevel="0" collapsed="false">
      <c r="B70" s="2" t="s">
        <v>40</v>
      </c>
      <c r="C70" s="2" t="s">
        <v>61</v>
      </c>
      <c r="D70" s="4" t="n">
        <v>29928.29</v>
      </c>
      <c r="E70" s="1" t="str">
        <f aca="false">B70&amp;C70</f>
        <v>3100608000</v>
      </c>
      <c r="F70" s="5" t="n">
        <f aca="false">IFERROR(VLOOKUP(E70,'Legacy Data'!$C$2:$D$1702,2,FALSE()),"No legacy match")</f>
        <v>29928.29</v>
      </c>
      <c r="G70" s="5" t="n">
        <f aca="false">IFERROR(F70-D70,"N/A")</f>
        <v>0</v>
      </c>
      <c r="H70" s="1" t="str">
        <f aca="false">IF(ISNUMBER(G70),IF(G70=0,"Match","Variance"),"Check")</f>
        <v>Match</v>
      </c>
    </row>
    <row r="71" customFormat="false" ht="15.75" hidden="false" customHeight="true" outlineLevel="0" collapsed="false">
      <c r="B71" s="2" t="s">
        <v>40</v>
      </c>
      <c r="C71" s="2" t="s">
        <v>24</v>
      </c>
      <c r="D71" s="4" t="n">
        <v>552127.68</v>
      </c>
      <c r="E71" s="1" t="str">
        <f aca="false">B71&amp;C71</f>
        <v>3100609004</v>
      </c>
      <c r="F71" s="5" t="n">
        <f aca="false">IFERROR(VLOOKUP(E71,'Legacy Data'!$C$2:$D$1702,2,FALSE()),"No legacy match")</f>
        <v>552127.68</v>
      </c>
      <c r="G71" s="5" t="n">
        <f aca="false">IFERROR(F71-D71,"N/A")</f>
        <v>0</v>
      </c>
      <c r="H71" s="1" t="str">
        <f aca="false">IF(ISNUMBER(G71),IF(G71=0,"Match","Variance"),"Check")</f>
        <v>Match</v>
      </c>
    </row>
    <row r="72" customFormat="false" ht="15.75" hidden="false" customHeight="true" outlineLevel="0" collapsed="false">
      <c r="B72" s="2" t="s">
        <v>40</v>
      </c>
      <c r="C72" s="2" t="s">
        <v>37</v>
      </c>
      <c r="D72" s="4" t="n">
        <v>9641410.97</v>
      </c>
      <c r="E72" s="1" t="str">
        <f aca="false">B72&amp;C72</f>
        <v>3100609008</v>
      </c>
      <c r="F72" s="5" t="n">
        <f aca="false">IFERROR(VLOOKUP(E72,'Legacy Data'!$C$2:$D$1702,2,FALSE()),"No legacy match")</f>
        <v>9641410.97</v>
      </c>
      <c r="G72" s="5" t="n">
        <f aca="false">IFERROR(F72-D72,"N/A")</f>
        <v>0</v>
      </c>
      <c r="H72" s="1" t="str">
        <f aca="false">IF(ISNUMBER(G72),IF(G72=0,"Match","Variance"),"Check")</f>
        <v>Match</v>
      </c>
    </row>
    <row r="73" customFormat="false" ht="15.75" hidden="false" customHeight="true" outlineLevel="0" collapsed="false">
      <c r="B73" s="2" t="s">
        <v>40</v>
      </c>
      <c r="C73" s="2" t="s">
        <v>62</v>
      </c>
      <c r="D73" s="4" t="n">
        <v>3483761.91</v>
      </c>
      <c r="E73" s="1" t="str">
        <f aca="false">B73&amp;C73</f>
        <v>3100606040</v>
      </c>
      <c r="F73" s="5" t="n">
        <f aca="false">IFERROR(VLOOKUP(E73,'Legacy Data'!$C$2:$D$1702,2,FALSE()),"No legacy match")</f>
        <v>3483761.91</v>
      </c>
      <c r="G73" s="5" t="n">
        <f aca="false">IFERROR(F73-D73,"N/A")</f>
        <v>0</v>
      </c>
      <c r="H73" s="1" t="str">
        <f aca="false">IF(ISNUMBER(G73),IF(G73=0,"Match","Variance"),"Check")</f>
        <v>Match</v>
      </c>
    </row>
    <row r="74" customFormat="false" ht="15.75" hidden="false" customHeight="true" outlineLevel="0" collapsed="false">
      <c r="B74" s="2" t="s">
        <v>40</v>
      </c>
      <c r="C74" s="2" t="s">
        <v>25</v>
      </c>
      <c r="D74" s="4" t="n">
        <v>0</v>
      </c>
      <c r="E74" s="1" t="str">
        <f aca="false">B74&amp;C74</f>
        <v>3100609005</v>
      </c>
      <c r="F74" s="5" t="n">
        <f aca="false">IFERROR(VLOOKUP(E74,'Legacy Data'!$C$2:$D$1702,2,FALSE()),"No legacy match")</f>
        <v>0</v>
      </c>
      <c r="G74" s="5" t="n">
        <f aca="false">IFERROR(F74-D74,"N/A")</f>
        <v>0</v>
      </c>
      <c r="H74" s="1" t="str">
        <f aca="false">IF(ISNUMBER(G74),IF(G74=0,"Match","Variance"),"Check")</f>
        <v>Match</v>
      </c>
    </row>
    <row r="75" customFormat="false" ht="15.75" hidden="false" customHeight="true" outlineLevel="0" collapsed="false">
      <c r="B75" s="2" t="s">
        <v>40</v>
      </c>
      <c r="C75" s="2" t="s">
        <v>63</v>
      </c>
      <c r="D75" s="4" t="n">
        <v>215058.92</v>
      </c>
      <c r="E75" s="1" t="str">
        <f aca="false">B75&amp;C75</f>
        <v>3100609000</v>
      </c>
      <c r="F75" s="5" t="n">
        <f aca="false">IFERROR(VLOOKUP(E75,'Legacy Data'!$C$2:$D$1702,2,FALSE()),"No legacy match")</f>
        <v>215058.92</v>
      </c>
      <c r="G75" s="5" t="n">
        <f aca="false">IFERROR(F75-D75,"N/A")</f>
        <v>0</v>
      </c>
      <c r="H75" s="1" t="str">
        <f aca="false">IF(ISNUMBER(G75),IF(G75=0,"Match","Variance"),"Check")</f>
        <v>Match</v>
      </c>
    </row>
    <row r="76" customFormat="false" ht="15.75" hidden="false" customHeight="true" outlineLevel="0" collapsed="false">
      <c r="B76" s="2" t="s">
        <v>40</v>
      </c>
      <c r="C76" s="2" t="s">
        <v>27</v>
      </c>
      <c r="D76" s="4" t="n">
        <v>126488.41</v>
      </c>
      <c r="E76" s="1" t="str">
        <f aca="false">B76&amp;C76</f>
        <v>3100609002</v>
      </c>
      <c r="F76" s="5" t="n">
        <f aca="false">IFERROR(VLOOKUP(E76,'Legacy Data'!$C$2:$D$1702,2,FALSE()),"No legacy match")</f>
        <v>126488.41</v>
      </c>
      <c r="G76" s="5" t="n">
        <f aca="false">IFERROR(F76-D76,"N/A")</f>
        <v>0</v>
      </c>
      <c r="H76" s="1" t="str">
        <f aca="false">IF(ISNUMBER(G76),IF(G76=0,"Match","Variance"),"Check")</f>
        <v>Match</v>
      </c>
    </row>
    <row r="77" customFormat="false" ht="15.75" hidden="false" customHeight="true" outlineLevel="0" collapsed="false">
      <c r="B77" s="2" t="s">
        <v>40</v>
      </c>
      <c r="C77" s="2" t="s">
        <v>28</v>
      </c>
      <c r="D77" s="4" t="n">
        <v>52403.56</v>
      </c>
      <c r="E77" s="1" t="str">
        <f aca="false">B77&amp;C77</f>
        <v>3100609003</v>
      </c>
      <c r="F77" s="5" t="n">
        <f aca="false">IFERROR(VLOOKUP(E77,'Legacy Data'!$C$2:$D$1702,2,FALSE()),"No legacy match")</f>
        <v>52403.56</v>
      </c>
      <c r="G77" s="5" t="n">
        <f aca="false">IFERROR(F77-D77,"N/A")</f>
        <v>0</v>
      </c>
      <c r="H77" s="1" t="str">
        <f aca="false">IF(ISNUMBER(G77),IF(G77=0,"Match","Variance"),"Check")</f>
        <v>Match</v>
      </c>
    </row>
    <row r="78" customFormat="false" ht="15.75" hidden="false" customHeight="true" outlineLevel="0" collapsed="false">
      <c r="B78" s="2" t="s">
        <v>40</v>
      </c>
      <c r="C78" s="2" t="s">
        <v>29</v>
      </c>
      <c r="D78" s="4" t="n">
        <v>203065.54</v>
      </c>
      <c r="E78" s="1" t="str">
        <f aca="false">B78&amp;C78</f>
        <v>3100609009</v>
      </c>
      <c r="F78" s="5" t="n">
        <f aca="false">IFERROR(VLOOKUP(E78,'Legacy Data'!$C$2:$D$1702,2,FALSE()),"No legacy match")</f>
        <v>203065.54</v>
      </c>
      <c r="G78" s="5" t="n">
        <f aca="false">IFERROR(F78-D78,"N/A")</f>
        <v>0</v>
      </c>
      <c r="H78" s="1" t="str">
        <f aca="false">IF(ISNUMBER(G78),IF(G78=0,"Match","Variance"),"Check")</f>
        <v>Match</v>
      </c>
    </row>
    <row r="79" customFormat="false" ht="15.75" hidden="false" customHeight="true" outlineLevel="0" collapsed="false">
      <c r="B79" s="2" t="s">
        <v>40</v>
      </c>
      <c r="C79" s="2" t="s">
        <v>30</v>
      </c>
      <c r="D79" s="4" t="n">
        <v>70761.25</v>
      </c>
      <c r="E79" s="1" t="str">
        <f aca="false">B79&amp;C79</f>
        <v>3100609010</v>
      </c>
      <c r="F79" s="5" t="n">
        <f aca="false">IFERROR(VLOOKUP(E79,'Legacy Data'!$C$2:$D$1702,2,FALSE()),"No legacy match")</f>
        <v>70761.25</v>
      </c>
      <c r="G79" s="5" t="n">
        <f aca="false">IFERROR(F79-D79,"N/A")</f>
        <v>0</v>
      </c>
      <c r="H79" s="1" t="str">
        <f aca="false">IF(ISNUMBER(G79),IF(G79=0,"Match","Variance"),"Check")</f>
        <v>Match</v>
      </c>
    </row>
    <row r="80" customFormat="false" ht="15.75" hidden="false" customHeight="true" outlineLevel="0" collapsed="false">
      <c r="B80" s="2" t="s">
        <v>40</v>
      </c>
      <c r="C80" s="2" t="s">
        <v>39</v>
      </c>
      <c r="D80" s="4" t="n">
        <v>-4754.65</v>
      </c>
      <c r="E80" s="1" t="str">
        <f aca="false">B80&amp;C80</f>
        <v>3100609012</v>
      </c>
      <c r="F80" s="5" t="n">
        <f aca="false">IFERROR(VLOOKUP(E80,'Legacy Data'!$C$2:$D$1702,2,FALSE()),"No legacy match")</f>
        <v>-4754.65</v>
      </c>
      <c r="G80" s="5" t="n">
        <f aca="false">IFERROR(F80-D80,"N/A")</f>
        <v>0</v>
      </c>
      <c r="H80" s="1" t="str">
        <f aca="false">IF(ISNUMBER(G80),IF(G80=0,"Match","Variance"),"Check")</f>
        <v>Match</v>
      </c>
    </row>
    <row r="81" customFormat="false" ht="15.75" hidden="false" customHeight="true" outlineLevel="0" collapsed="false">
      <c r="B81" s="2" t="s">
        <v>40</v>
      </c>
      <c r="C81" s="2" t="s">
        <v>64</v>
      </c>
      <c r="D81" s="4" t="n">
        <v>-2658039.63</v>
      </c>
      <c r="E81" s="1" t="str">
        <f aca="false">B81&amp;C81</f>
        <v>3100610000</v>
      </c>
      <c r="F81" s="5" t="n">
        <f aca="false">IFERROR(VLOOKUP(E81,'Legacy Data'!$C$2:$D$1702,2,FALSE()),"No legacy match")</f>
        <v>-2658039.63</v>
      </c>
      <c r="G81" s="5" t="n">
        <f aca="false">IFERROR(F81-D81,"N/A")</f>
        <v>0</v>
      </c>
      <c r="H81" s="1" t="str">
        <f aca="false">IF(ISNUMBER(G81),IF(G81=0,"Match","Variance"),"Check")</f>
        <v>Match</v>
      </c>
    </row>
    <row r="82" customFormat="false" ht="15.75" hidden="false" customHeight="true" outlineLevel="0" collapsed="false">
      <c r="B82" s="2" t="s">
        <v>40</v>
      </c>
      <c r="C82" s="2" t="s">
        <v>65</v>
      </c>
      <c r="D82" s="4" t="n">
        <v>-797983.22</v>
      </c>
      <c r="E82" s="1" t="str">
        <f aca="false">B82&amp;C82</f>
        <v>3100610001</v>
      </c>
      <c r="F82" s="5" t="n">
        <f aca="false">IFERROR(VLOOKUP(E82,'Legacy Data'!$C$2:$D$1702,2,FALSE()),"No legacy match")</f>
        <v>-797983.22</v>
      </c>
      <c r="G82" s="5" t="n">
        <f aca="false">IFERROR(F82-D82,"N/A")</f>
        <v>0</v>
      </c>
      <c r="H82" s="1" t="str">
        <f aca="false">IF(ISNUMBER(G82),IF(G82=0,"Match","Variance"),"Check")</f>
        <v>Match</v>
      </c>
    </row>
    <row r="83" customFormat="false" ht="15.75" hidden="false" customHeight="true" outlineLevel="0" collapsed="false">
      <c r="B83" s="2" t="s">
        <v>40</v>
      </c>
      <c r="C83" s="2" t="s">
        <v>66</v>
      </c>
      <c r="D83" s="4" t="n">
        <v>0.01</v>
      </c>
      <c r="E83" s="1" t="str">
        <f aca="false">B83&amp;C83</f>
        <v>3100610003</v>
      </c>
      <c r="F83" s="5" t="n">
        <f aca="false">IFERROR(VLOOKUP(E83,'Legacy Data'!$C$2:$D$1702,2,FALSE()),"No legacy match")</f>
        <v>0.01</v>
      </c>
      <c r="G83" s="5" t="n">
        <f aca="false">IFERROR(F83-D83,"N/A")</f>
        <v>0</v>
      </c>
      <c r="H83" s="1" t="str">
        <f aca="false">IF(ISNUMBER(G83),IF(G83=0,"Match","Variance"),"Check")</f>
        <v>Match</v>
      </c>
    </row>
    <row r="84" customFormat="false" ht="15.75" hidden="false" customHeight="true" outlineLevel="0" collapsed="false">
      <c r="B84" s="2" t="s">
        <v>40</v>
      </c>
      <c r="C84" s="2" t="s">
        <v>67</v>
      </c>
      <c r="D84" s="4" t="n">
        <v>0</v>
      </c>
      <c r="E84" s="1" t="str">
        <f aca="false">B84&amp;C84</f>
        <v>3100610004</v>
      </c>
      <c r="F84" s="5" t="n">
        <f aca="false">IFERROR(VLOOKUP(E84,'Legacy Data'!$C$2:$D$1702,2,FALSE()),"No legacy match")</f>
        <v>0</v>
      </c>
      <c r="G84" s="5" t="n">
        <f aca="false">IFERROR(F84-D84,"N/A")</f>
        <v>0</v>
      </c>
      <c r="H84" s="1" t="str">
        <f aca="false">IF(ISNUMBER(G84),IF(G84=0,"Match","Variance"),"Check")</f>
        <v>Match</v>
      </c>
    </row>
    <row r="85" customFormat="false" ht="15.75" hidden="false" customHeight="true" outlineLevel="0" collapsed="false">
      <c r="B85" s="2" t="s">
        <v>40</v>
      </c>
      <c r="C85" s="2" t="s">
        <v>31</v>
      </c>
      <c r="D85" s="4" t="n">
        <v>23596.58</v>
      </c>
      <c r="E85" s="1" t="str">
        <f aca="false">B85&amp;C85</f>
        <v>3100607000</v>
      </c>
      <c r="F85" s="5" t="n">
        <f aca="false">IFERROR(VLOOKUP(E85,'Legacy Data'!$C$2:$D$1702,2,FALSE()),"No legacy match")</f>
        <v>23596.58</v>
      </c>
      <c r="G85" s="5" t="n">
        <f aca="false">IFERROR(F85-D85,"N/A")</f>
        <v>0</v>
      </c>
      <c r="H85" s="1" t="str">
        <f aca="false">IF(ISNUMBER(G85),IF(G85=0,"Match","Variance"),"Check")</f>
        <v>Match</v>
      </c>
    </row>
    <row r="86" customFormat="false" ht="15.75" hidden="false" customHeight="true" outlineLevel="0" collapsed="false">
      <c r="B86" s="2" t="s">
        <v>40</v>
      </c>
      <c r="C86" s="2" t="s">
        <v>32</v>
      </c>
      <c r="D86" s="4" t="n">
        <v>24390.91</v>
      </c>
      <c r="E86" s="1" t="str">
        <f aca="false">B86&amp;C86</f>
        <v>3100607010</v>
      </c>
      <c r="F86" s="5" t="n">
        <f aca="false">IFERROR(VLOOKUP(E86,'Legacy Data'!$C$2:$D$1702,2,FALSE()),"No legacy match")</f>
        <v>24390.91</v>
      </c>
      <c r="G86" s="5" t="n">
        <f aca="false">IFERROR(F86-D86,"N/A")</f>
        <v>0</v>
      </c>
      <c r="H86" s="1" t="str">
        <f aca="false">IF(ISNUMBER(G86),IF(G86=0,"Match","Variance"),"Check")</f>
        <v>Match</v>
      </c>
    </row>
    <row r="87" customFormat="false" ht="15.75" hidden="false" customHeight="true" outlineLevel="0" collapsed="false">
      <c r="B87" s="2" t="s">
        <v>40</v>
      </c>
      <c r="C87" s="2" t="s">
        <v>33</v>
      </c>
      <c r="D87" s="4" t="n">
        <v>1604839</v>
      </c>
      <c r="E87" s="1" t="str">
        <f aca="false">B87&amp;C87</f>
        <v>3100604031</v>
      </c>
      <c r="F87" s="5" t="n">
        <f aca="false">IFERROR(VLOOKUP(E87,'Legacy Data'!$C$2:$D$1702,2,FALSE()),"No legacy match")</f>
        <v>1604839</v>
      </c>
      <c r="G87" s="5" t="n">
        <f aca="false">IFERROR(F87-D87,"N/A")</f>
        <v>0</v>
      </c>
      <c r="H87" s="1" t="str">
        <f aca="false">IF(ISNUMBER(G87),IF(G87=0,"Match","Variance"),"Check")</f>
        <v>Match</v>
      </c>
    </row>
    <row r="88" customFormat="false" ht="15.75" hidden="false" customHeight="true" outlineLevel="0" collapsed="false">
      <c r="B88" s="2" t="s">
        <v>40</v>
      </c>
      <c r="C88" s="2" t="s">
        <v>34</v>
      </c>
      <c r="D88" s="4" t="n">
        <v>0</v>
      </c>
      <c r="E88" s="1" t="str">
        <f aca="false">B88&amp;C88</f>
        <v>3100910002</v>
      </c>
      <c r="F88" s="5" t="n">
        <f aca="false">IFERROR(VLOOKUP(E88,'Legacy Data'!$C$2:$D$1702,2,FALSE()),"No legacy match")</f>
        <v>0</v>
      </c>
      <c r="G88" s="5" t="n">
        <f aca="false">IFERROR(F88-D88,"N/A")</f>
        <v>0</v>
      </c>
      <c r="H88" s="1" t="str">
        <f aca="false">IF(ISNUMBER(G88),IF(G88=0,"Match","Variance"),"Check")</f>
        <v>Match</v>
      </c>
    </row>
    <row r="89" customFormat="false" ht="15.75" hidden="false" customHeight="true" outlineLevel="0" collapsed="false">
      <c r="B89" s="2" t="s">
        <v>40</v>
      </c>
      <c r="C89" s="2" t="s">
        <v>35</v>
      </c>
      <c r="D89" s="4" t="n">
        <v>0</v>
      </c>
      <c r="E89" s="1" t="str">
        <f aca="false">B89&amp;C89</f>
        <v>3100910004</v>
      </c>
      <c r="F89" s="5" t="n">
        <f aca="false">IFERROR(VLOOKUP(E89,'Legacy Data'!$C$2:$D$1702,2,FALSE()),"No legacy match")</f>
        <v>0</v>
      </c>
      <c r="G89" s="5" t="n">
        <f aca="false">IFERROR(F89-D89,"N/A")</f>
        <v>0</v>
      </c>
      <c r="H89" s="1" t="str">
        <f aca="false">IF(ISNUMBER(G89),IF(G89=0,"Match","Variance"),"Check")</f>
        <v>Match</v>
      </c>
    </row>
    <row r="90" customFormat="false" ht="15.75" hidden="false" customHeight="true" outlineLevel="0" collapsed="false">
      <c r="B90" s="2" t="s">
        <v>68</v>
      </c>
      <c r="C90" s="2" t="s">
        <v>8</v>
      </c>
      <c r="D90" s="4" t="n">
        <v>11149436.83</v>
      </c>
      <c r="E90" s="1" t="str">
        <f aca="false">B90&amp;C90</f>
        <v>3150602000</v>
      </c>
      <c r="F90" s="5" t="n">
        <f aca="false">IFERROR(VLOOKUP(E90,'Legacy Data'!$C$2:$D$1702,2,FALSE()),"No legacy match")</f>
        <v>11149436.83</v>
      </c>
      <c r="G90" s="5" t="n">
        <f aca="false">IFERROR(F90-D90,"N/A")</f>
        <v>0</v>
      </c>
      <c r="H90" s="1" t="str">
        <f aca="false">IF(ISNUMBER(G90),IF(G90=0,"Match","Variance"),"Check")</f>
        <v>Match</v>
      </c>
    </row>
    <row r="91" customFormat="false" ht="15.75" hidden="false" customHeight="true" outlineLevel="0" collapsed="false">
      <c r="B91" s="2" t="s">
        <v>68</v>
      </c>
      <c r="C91" s="2" t="s">
        <v>41</v>
      </c>
      <c r="D91" s="4" t="n">
        <v>7849.8</v>
      </c>
      <c r="E91" s="1" t="str">
        <f aca="false">B91&amp;C91</f>
        <v>3150602002</v>
      </c>
      <c r="F91" s="5" t="n">
        <f aca="false">IFERROR(VLOOKUP(E91,'Legacy Data'!$C$2:$D$1702,2,FALSE()),"No legacy match")</f>
        <v>7849.8</v>
      </c>
      <c r="G91" s="5" t="n">
        <f aca="false">IFERROR(F91-D91,"N/A")</f>
        <v>0</v>
      </c>
      <c r="H91" s="1" t="str">
        <f aca="false">IF(ISNUMBER(G91),IF(G91=0,"Match","Variance"),"Check")</f>
        <v>Match</v>
      </c>
    </row>
    <row r="92" customFormat="false" ht="15.75" hidden="false" customHeight="true" outlineLevel="0" collapsed="false">
      <c r="B92" s="2" t="s">
        <v>68</v>
      </c>
      <c r="C92" s="2" t="s">
        <v>9</v>
      </c>
      <c r="D92" s="4" t="n">
        <v>232922.13</v>
      </c>
      <c r="E92" s="1" t="str">
        <f aca="false">B92&amp;C92</f>
        <v>3150602003</v>
      </c>
      <c r="F92" s="5" t="n">
        <f aca="false">IFERROR(VLOOKUP(E92,'Legacy Data'!$C$2:$D$1702,2,FALSE()),"No legacy match")</f>
        <v>232922.13</v>
      </c>
      <c r="G92" s="5" t="n">
        <f aca="false">IFERROR(F92-D92,"N/A")</f>
        <v>0</v>
      </c>
      <c r="H92" s="1" t="str">
        <f aca="false">IF(ISNUMBER(G92),IF(G92=0,"Match","Variance"),"Check")</f>
        <v>Match</v>
      </c>
    </row>
    <row r="93" customFormat="false" ht="15.75" hidden="false" customHeight="true" outlineLevel="0" collapsed="false">
      <c r="B93" s="2" t="s">
        <v>68</v>
      </c>
      <c r="C93" s="2" t="s">
        <v>10</v>
      </c>
      <c r="D93" s="4" t="n">
        <v>12816.83</v>
      </c>
      <c r="E93" s="1" t="str">
        <f aca="false">B93&amp;C93</f>
        <v>3150602004</v>
      </c>
      <c r="F93" s="5" t="n">
        <f aca="false">IFERROR(VLOOKUP(E93,'Legacy Data'!$C$2:$D$1702,2,FALSE()),"No legacy match")</f>
        <v>12816.83</v>
      </c>
      <c r="G93" s="5" t="n">
        <f aca="false">IFERROR(F93-D93,"N/A")</f>
        <v>0</v>
      </c>
      <c r="H93" s="1" t="str">
        <f aca="false">IF(ISNUMBER(G93),IF(G93=0,"Match","Variance"),"Check")</f>
        <v>Match</v>
      </c>
    </row>
    <row r="94" customFormat="false" ht="15.75" hidden="false" customHeight="true" outlineLevel="0" collapsed="false">
      <c r="B94" s="2" t="s">
        <v>68</v>
      </c>
      <c r="C94" s="2" t="s">
        <v>12</v>
      </c>
      <c r="D94" s="4" t="n">
        <v>926045.14</v>
      </c>
      <c r="E94" s="1" t="str">
        <f aca="false">B94&amp;C94</f>
        <v>3150602010</v>
      </c>
      <c r="F94" s="5" t="n">
        <f aca="false">IFERROR(VLOOKUP(E94,'Legacy Data'!$C$2:$D$1702,2,FALSE()),"No legacy match")</f>
        <v>926045.14</v>
      </c>
      <c r="G94" s="5" t="n">
        <f aca="false">IFERROR(F94-D94,"N/A")</f>
        <v>0</v>
      </c>
      <c r="H94" s="1" t="str">
        <f aca="false">IF(ISNUMBER(G94),IF(G94=0,"Match","Variance"),"Check")</f>
        <v>Match</v>
      </c>
    </row>
    <row r="95" customFormat="false" ht="15.75" hidden="false" customHeight="true" outlineLevel="0" collapsed="false">
      <c r="B95" s="2" t="s">
        <v>68</v>
      </c>
      <c r="C95" s="2" t="s">
        <v>13</v>
      </c>
      <c r="D95" s="4" t="n">
        <v>424805.39</v>
      </c>
      <c r="E95" s="1" t="str">
        <f aca="false">B95&amp;C95</f>
        <v>3150602020</v>
      </c>
      <c r="F95" s="5" t="n">
        <f aca="false">IFERROR(VLOOKUP(E95,'Legacy Data'!$C$2:$D$1702,2,FALSE()),"No legacy match")</f>
        <v>424805.39</v>
      </c>
      <c r="G95" s="5" t="n">
        <f aca="false">IFERROR(F95-D95,"N/A")</f>
        <v>0</v>
      </c>
      <c r="H95" s="1" t="str">
        <f aca="false">IF(ISNUMBER(G95),IF(G95=0,"Match","Variance"),"Check")</f>
        <v>Match</v>
      </c>
    </row>
    <row r="96" customFormat="false" ht="15.75" hidden="false" customHeight="true" outlineLevel="0" collapsed="false">
      <c r="B96" s="2" t="s">
        <v>68</v>
      </c>
      <c r="C96" s="2" t="s">
        <v>14</v>
      </c>
      <c r="D96" s="4" t="n">
        <v>88258.83</v>
      </c>
      <c r="E96" s="1" t="str">
        <f aca="false">B96&amp;C96</f>
        <v>3150602030</v>
      </c>
      <c r="F96" s="5" t="n">
        <f aca="false">IFERROR(VLOOKUP(E96,'Legacy Data'!$C$2:$D$1702,2,FALSE()),"No legacy match")</f>
        <v>88258.83</v>
      </c>
      <c r="G96" s="5" t="n">
        <f aca="false">IFERROR(F96-D96,"N/A")</f>
        <v>0</v>
      </c>
      <c r="H96" s="1" t="str">
        <f aca="false">IF(ISNUMBER(G96),IF(G96=0,"Match","Variance"),"Check")</f>
        <v>Match</v>
      </c>
    </row>
    <row r="97" customFormat="false" ht="15.75" hidden="false" customHeight="true" outlineLevel="0" collapsed="false">
      <c r="B97" s="2" t="s">
        <v>68</v>
      </c>
      <c r="C97" s="2" t="s">
        <v>42</v>
      </c>
      <c r="D97" s="4" t="n">
        <v>216293.52</v>
      </c>
      <c r="E97" s="1" t="str">
        <f aca="false">B97&amp;C97</f>
        <v>3150602040</v>
      </c>
      <c r="F97" s="5" t="n">
        <f aca="false">IFERROR(VLOOKUP(E97,'Legacy Data'!$C$2:$D$1702,2,FALSE()),"No legacy match")</f>
        <v>216293.52</v>
      </c>
      <c r="G97" s="5" t="n">
        <f aca="false">IFERROR(F97-D97,"N/A")</f>
        <v>0</v>
      </c>
      <c r="H97" s="1" t="str">
        <f aca="false">IF(ISNUMBER(G97),IF(G97=0,"Match","Variance"),"Check")</f>
        <v>Match</v>
      </c>
    </row>
    <row r="98" customFormat="false" ht="15.75" hidden="false" customHeight="true" outlineLevel="0" collapsed="false">
      <c r="B98" s="2" t="s">
        <v>68</v>
      </c>
      <c r="C98" s="2" t="s">
        <v>43</v>
      </c>
      <c r="D98" s="4" t="n">
        <v>13058.43</v>
      </c>
      <c r="E98" s="1" t="str">
        <f aca="false">B98&amp;C98</f>
        <v>3150602050</v>
      </c>
      <c r="F98" s="5" t="n">
        <f aca="false">IFERROR(VLOOKUP(E98,'Legacy Data'!$C$2:$D$1702,2,FALSE()),"No legacy match")</f>
        <v>13058.43</v>
      </c>
      <c r="G98" s="5" t="n">
        <f aca="false">IFERROR(F98-D98,"N/A")</f>
        <v>0</v>
      </c>
      <c r="H98" s="1" t="str">
        <f aca="false">IF(ISNUMBER(G98),IF(G98=0,"Match","Variance"),"Check")</f>
        <v>Match</v>
      </c>
    </row>
    <row r="99" customFormat="false" ht="15.75" hidden="false" customHeight="true" outlineLevel="0" collapsed="false">
      <c r="B99" s="2" t="s">
        <v>68</v>
      </c>
      <c r="C99" s="2" t="s">
        <v>44</v>
      </c>
      <c r="D99" s="4" t="n">
        <v>6744.5</v>
      </c>
      <c r="E99" s="1" t="str">
        <f aca="false">B99&amp;C99</f>
        <v>3150602060</v>
      </c>
      <c r="F99" s="5" t="n">
        <f aca="false">IFERROR(VLOOKUP(E99,'Legacy Data'!$C$2:$D$1702,2,FALSE()),"No legacy match")</f>
        <v>6744.5</v>
      </c>
      <c r="G99" s="5" t="n">
        <f aca="false">IFERROR(F99-D99,"N/A")</f>
        <v>0</v>
      </c>
      <c r="H99" s="1" t="str">
        <f aca="false">IF(ISNUMBER(G99),IF(G99=0,"Match","Variance"),"Check")</f>
        <v>Match</v>
      </c>
    </row>
    <row r="100" customFormat="false" ht="15.75" hidden="false" customHeight="true" outlineLevel="0" collapsed="false">
      <c r="B100" s="2" t="s">
        <v>68</v>
      </c>
      <c r="C100" s="2" t="s">
        <v>15</v>
      </c>
      <c r="D100" s="4" t="n">
        <v>-172535.13</v>
      </c>
      <c r="E100" s="1" t="str">
        <f aca="false">B100&amp;C100</f>
        <v>3150602070</v>
      </c>
      <c r="F100" s="5" t="n">
        <f aca="false">IFERROR(VLOOKUP(E100,'Legacy Data'!$C$2:$D$1702,2,FALSE()),"No legacy match")</f>
        <v>-172535.13</v>
      </c>
      <c r="G100" s="5" t="n">
        <f aca="false">IFERROR(F100-D100,"N/A")</f>
        <v>0</v>
      </c>
      <c r="H100" s="1" t="str">
        <f aca="false">IF(ISNUMBER(G100),IF(G100=0,"Match","Variance"),"Check")</f>
        <v>Match</v>
      </c>
    </row>
    <row r="101" customFormat="false" ht="15.75" hidden="false" customHeight="true" outlineLevel="0" collapsed="false">
      <c r="B101" s="2" t="s">
        <v>68</v>
      </c>
      <c r="C101" s="2" t="s">
        <v>45</v>
      </c>
      <c r="D101" s="4" t="n">
        <v>409</v>
      </c>
      <c r="E101" s="1" t="str">
        <f aca="false">B101&amp;C101</f>
        <v>3150602071</v>
      </c>
      <c r="F101" s="5" t="n">
        <f aca="false">IFERROR(VLOOKUP(E101,'Legacy Data'!$C$2:$D$1702,2,FALSE()),"No legacy match")</f>
        <v>409</v>
      </c>
      <c r="G101" s="5" t="n">
        <f aca="false">IFERROR(F101-D101,"N/A")</f>
        <v>0</v>
      </c>
      <c r="H101" s="1" t="str">
        <f aca="false">IF(ISNUMBER(G101),IF(G101=0,"Match","Variance"),"Check")</f>
        <v>Match</v>
      </c>
    </row>
    <row r="102" customFormat="false" ht="15.75" hidden="false" customHeight="true" outlineLevel="0" collapsed="false">
      <c r="B102" s="2" t="s">
        <v>68</v>
      </c>
      <c r="C102" s="2" t="s">
        <v>16</v>
      </c>
      <c r="D102" s="4" t="n">
        <v>625751.55</v>
      </c>
      <c r="E102" s="1" t="str">
        <f aca="false">B102&amp;C102</f>
        <v>3150602072</v>
      </c>
      <c r="F102" s="5" t="n">
        <f aca="false">IFERROR(VLOOKUP(E102,'Legacy Data'!$C$2:$D$1702,2,FALSE()),"No legacy match")</f>
        <v>625751.55</v>
      </c>
      <c r="G102" s="5" t="n">
        <f aca="false">IFERROR(F102-D102,"N/A")</f>
        <v>0</v>
      </c>
      <c r="H102" s="1" t="str">
        <f aca="false">IF(ISNUMBER(G102),IF(G102=0,"Match","Variance"),"Check")</f>
        <v>Match</v>
      </c>
    </row>
    <row r="103" customFormat="false" ht="15.75" hidden="false" customHeight="true" outlineLevel="0" collapsed="false">
      <c r="B103" s="2" t="s">
        <v>68</v>
      </c>
      <c r="C103" s="2" t="s">
        <v>48</v>
      </c>
      <c r="D103" s="4" t="n">
        <v>12850.3</v>
      </c>
      <c r="E103" s="1" t="str">
        <f aca="false">B103&amp;C103</f>
        <v>3150602080</v>
      </c>
      <c r="F103" s="5" t="n">
        <f aca="false">IFERROR(VLOOKUP(E103,'Legacy Data'!$C$2:$D$1702,2,FALSE()),"No legacy match")</f>
        <v>12850.3</v>
      </c>
      <c r="G103" s="5" t="n">
        <f aca="false">IFERROR(F103-D103,"N/A")</f>
        <v>0</v>
      </c>
      <c r="H103" s="1" t="str">
        <f aca="false">IF(ISNUMBER(G103),IF(G103=0,"Match","Variance"),"Check")</f>
        <v>Match</v>
      </c>
    </row>
    <row r="104" customFormat="false" ht="15.75" hidden="false" customHeight="true" outlineLevel="0" collapsed="false">
      <c r="B104" s="2" t="s">
        <v>68</v>
      </c>
      <c r="C104" s="2" t="s">
        <v>17</v>
      </c>
      <c r="D104" s="4" t="n">
        <v>1212454.12</v>
      </c>
      <c r="E104" s="1" t="str">
        <f aca="false">B104&amp;C104</f>
        <v>3150603000</v>
      </c>
      <c r="F104" s="5" t="n">
        <f aca="false">IFERROR(VLOOKUP(E104,'Legacy Data'!$C$2:$D$1702,2,FALSE()),"No legacy match")</f>
        <v>1212454.12</v>
      </c>
      <c r="G104" s="5" t="n">
        <f aca="false">IFERROR(F104-D104,"N/A")</f>
        <v>0</v>
      </c>
      <c r="H104" s="1" t="str">
        <f aca="false">IF(ISNUMBER(G104),IF(G104=0,"Match","Variance"),"Check")</f>
        <v>Match</v>
      </c>
    </row>
    <row r="105" customFormat="false" ht="15.75" hidden="false" customHeight="true" outlineLevel="0" collapsed="false">
      <c r="B105" s="2" t="s">
        <v>68</v>
      </c>
      <c r="C105" s="2" t="s">
        <v>49</v>
      </c>
      <c r="D105" s="4" t="n">
        <v>0</v>
      </c>
      <c r="E105" s="1" t="str">
        <f aca="false">B105&amp;C105</f>
        <v>3150604050</v>
      </c>
      <c r="F105" s="5" t="n">
        <f aca="false">IFERROR(VLOOKUP(E105,'Legacy Data'!$C$2:$D$1702,2,FALSE()),"No legacy match")</f>
        <v>0</v>
      </c>
      <c r="G105" s="5" t="n">
        <f aca="false">IFERROR(F105-D105,"N/A")</f>
        <v>0</v>
      </c>
      <c r="H105" s="1" t="str">
        <f aca="false">IF(ISNUMBER(G105),IF(G105=0,"Match","Variance"),"Check")</f>
        <v>Match</v>
      </c>
    </row>
    <row r="106" customFormat="false" ht="15.75" hidden="false" customHeight="true" outlineLevel="0" collapsed="false">
      <c r="B106" s="2" t="s">
        <v>68</v>
      </c>
      <c r="C106" s="2" t="s">
        <v>50</v>
      </c>
      <c r="D106" s="4" t="n">
        <v>-0.15</v>
      </c>
      <c r="E106" s="1" t="str">
        <f aca="false">B106&amp;C106</f>
        <v>3150604060</v>
      </c>
      <c r="F106" s="5" t="n">
        <f aca="false">IFERROR(VLOOKUP(E106,'Legacy Data'!$C$2:$D$1702,2,FALSE()),"No legacy match")</f>
        <v>-0.15</v>
      </c>
      <c r="G106" s="5" t="n">
        <f aca="false">IFERROR(F106-D106,"N/A")</f>
        <v>0</v>
      </c>
      <c r="H106" s="1" t="str">
        <f aca="false">IF(ISNUMBER(G106),IF(G106=0,"Match","Variance"),"Check")</f>
        <v>Match</v>
      </c>
    </row>
    <row r="107" customFormat="false" ht="15.75" hidden="false" customHeight="true" outlineLevel="0" collapsed="false">
      <c r="B107" s="2" t="s">
        <v>68</v>
      </c>
      <c r="C107" s="2" t="s">
        <v>53</v>
      </c>
      <c r="D107" s="4" t="n">
        <v>742.46</v>
      </c>
      <c r="E107" s="1" t="str">
        <f aca="false">B107&amp;C107</f>
        <v>3150605020</v>
      </c>
      <c r="F107" s="5" t="n">
        <f aca="false">IFERROR(VLOOKUP(E107,'Legacy Data'!$C$2:$D$1702,2,FALSE()),"No legacy match")</f>
        <v>742.46</v>
      </c>
      <c r="G107" s="5" t="n">
        <f aca="false">IFERROR(F107-D107,"N/A")</f>
        <v>0</v>
      </c>
      <c r="H107" s="1" t="str">
        <f aca="false">IF(ISNUMBER(G107),IF(G107=0,"Match","Variance"),"Check")</f>
        <v>Match</v>
      </c>
    </row>
    <row r="108" customFormat="false" ht="15.75" hidden="false" customHeight="true" outlineLevel="0" collapsed="false">
      <c r="B108" s="2" t="s">
        <v>68</v>
      </c>
      <c r="C108" s="2" t="s">
        <v>59</v>
      </c>
      <c r="D108" s="4" t="n">
        <v>89.09</v>
      </c>
      <c r="E108" s="1" t="str">
        <f aca="false">B108&amp;C108</f>
        <v>3150608010</v>
      </c>
      <c r="F108" s="5" t="n">
        <f aca="false">IFERROR(VLOOKUP(E108,'Legacy Data'!$C$2:$D$1702,2,FALSE()),"No legacy match")</f>
        <v>89.09</v>
      </c>
      <c r="G108" s="5" t="n">
        <f aca="false">IFERROR(F108-D108,"N/A")</f>
        <v>0</v>
      </c>
      <c r="H108" s="1" t="str">
        <f aca="false">IF(ISNUMBER(G108),IF(G108=0,"Match","Variance"),"Check")</f>
        <v>Match</v>
      </c>
    </row>
    <row r="109" customFormat="false" ht="15.75" hidden="false" customHeight="true" outlineLevel="0" collapsed="false">
      <c r="B109" s="2" t="s">
        <v>68</v>
      </c>
      <c r="C109" s="2" t="s">
        <v>60</v>
      </c>
      <c r="D109" s="4" t="n">
        <v>3861.08</v>
      </c>
      <c r="E109" s="1" t="str">
        <f aca="false">B109&amp;C109</f>
        <v>3150608040</v>
      </c>
      <c r="F109" s="5" t="n">
        <f aca="false">IFERROR(VLOOKUP(E109,'Legacy Data'!$C$2:$D$1702,2,FALSE()),"No legacy match")</f>
        <v>3861.08</v>
      </c>
      <c r="G109" s="5" t="n">
        <f aca="false">IFERROR(F109-D109,"N/A")</f>
        <v>0</v>
      </c>
      <c r="H109" s="1" t="str">
        <f aca="false">IF(ISNUMBER(G109),IF(G109=0,"Match","Variance"),"Check")</f>
        <v>Match</v>
      </c>
    </row>
    <row r="110" customFormat="false" ht="15.75" hidden="false" customHeight="true" outlineLevel="0" collapsed="false">
      <c r="B110" s="2" t="s">
        <v>68</v>
      </c>
      <c r="C110" s="2" t="s">
        <v>24</v>
      </c>
      <c r="D110" s="4" t="n">
        <v>15267.04</v>
      </c>
      <c r="E110" s="1" t="str">
        <f aca="false">B110&amp;C110</f>
        <v>3150609004</v>
      </c>
      <c r="F110" s="5" t="n">
        <f aca="false">IFERROR(VLOOKUP(E110,'Legacy Data'!$C$2:$D$1702,2,FALSE()),"No legacy match")</f>
        <v>15267.04</v>
      </c>
      <c r="G110" s="5" t="n">
        <f aca="false">IFERROR(F110-D110,"N/A")</f>
        <v>0</v>
      </c>
      <c r="H110" s="1" t="str">
        <f aca="false">IF(ISNUMBER(G110),IF(G110=0,"Match","Variance"),"Check")</f>
        <v>Match</v>
      </c>
    </row>
    <row r="111" customFormat="false" ht="15.75" hidden="false" customHeight="true" outlineLevel="0" collapsed="false">
      <c r="B111" s="2" t="s">
        <v>68</v>
      </c>
      <c r="C111" s="2" t="s">
        <v>27</v>
      </c>
      <c r="D111" s="4" t="n">
        <v>9482.47</v>
      </c>
      <c r="E111" s="1" t="str">
        <f aca="false">B111&amp;C111</f>
        <v>3150609002</v>
      </c>
      <c r="F111" s="5" t="n">
        <f aca="false">IFERROR(VLOOKUP(E111,'Legacy Data'!$C$2:$D$1702,2,FALSE()),"No legacy match")</f>
        <v>9482.47</v>
      </c>
      <c r="G111" s="5" t="n">
        <f aca="false">IFERROR(F111-D111,"N/A")</f>
        <v>0</v>
      </c>
      <c r="H111" s="1" t="str">
        <f aca="false">IF(ISNUMBER(G111),IF(G111=0,"Match","Variance"),"Check")</f>
        <v>Match</v>
      </c>
    </row>
    <row r="112" customFormat="false" ht="15.75" hidden="false" customHeight="true" outlineLevel="0" collapsed="false">
      <c r="B112" s="2" t="s">
        <v>68</v>
      </c>
      <c r="C112" s="2" t="s">
        <v>28</v>
      </c>
      <c r="D112" s="4" t="n">
        <v>8809.51</v>
      </c>
      <c r="E112" s="1" t="str">
        <f aca="false">B112&amp;C112</f>
        <v>3150609003</v>
      </c>
      <c r="F112" s="5" t="n">
        <f aca="false">IFERROR(VLOOKUP(E112,'Legacy Data'!$C$2:$D$1702,2,FALSE()),"No legacy match")</f>
        <v>8809.51</v>
      </c>
      <c r="G112" s="5" t="n">
        <f aca="false">IFERROR(F112-D112,"N/A")</f>
        <v>0</v>
      </c>
      <c r="H112" s="1" t="str">
        <f aca="false">IF(ISNUMBER(G112),IF(G112=0,"Match","Variance"),"Check")</f>
        <v>Match</v>
      </c>
    </row>
    <row r="113" customFormat="false" ht="15.75" hidden="false" customHeight="true" outlineLevel="0" collapsed="false">
      <c r="B113" s="2" t="s">
        <v>68</v>
      </c>
      <c r="C113" s="2" t="s">
        <v>29</v>
      </c>
      <c r="D113" s="4" t="n">
        <v>21081.93</v>
      </c>
      <c r="E113" s="1" t="str">
        <f aca="false">B113&amp;C113</f>
        <v>3150609009</v>
      </c>
      <c r="F113" s="5" t="n">
        <f aca="false">IFERROR(VLOOKUP(E113,'Legacy Data'!$C$2:$D$1702,2,FALSE()),"No legacy match")</f>
        <v>21081.93</v>
      </c>
      <c r="G113" s="5" t="n">
        <f aca="false">IFERROR(F113-D113,"N/A")</f>
        <v>0</v>
      </c>
      <c r="H113" s="1" t="str">
        <f aca="false">IF(ISNUMBER(G113),IF(G113=0,"Match","Variance"),"Check")</f>
        <v>Match</v>
      </c>
    </row>
    <row r="114" customFormat="false" ht="15.75" hidden="false" customHeight="true" outlineLevel="0" collapsed="false">
      <c r="B114" s="2" t="s">
        <v>68</v>
      </c>
      <c r="C114" s="2" t="s">
        <v>30</v>
      </c>
      <c r="D114" s="4" t="n">
        <v>7072.24</v>
      </c>
      <c r="E114" s="1" t="str">
        <f aca="false">B114&amp;C114</f>
        <v>3150609010</v>
      </c>
      <c r="F114" s="5" t="n">
        <f aca="false">IFERROR(VLOOKUP(E114,'Legacy Data'!$C$2:$D$1702,2,FALSE()),"No legacy match")</f>
        <v>7072.24</v>
      </c>
      <c r="G114" s="5" t="n">
        <f aca="false">IFERROR(F114-D114,"N/A")</f>
        <v>0</v>
      </c>
      <c r="H114" s="1" t="str">
        <f aca="false">IF(ISNUMBER(G114),IF(G114=0,"Match","Variance"),"Check")</f>
        <v>Match</v>
      </c>
    </row>
    <row r="115" customFormat="false" ht="15.75" hidden="false" customHeight="true" outlineLevel="0" collapsed="false">
      <c r="B115" s="2" t="s">
        <v>68</v>
      </c>
      <c r="C115" s="2" t="s">
        <v>31</v>
      </c>
      <c r="D115" s="4" t="n">
        <v>108.75</v>
      </c>
      <c r="E115" s="1" t="str">
        <f aca="false">B115&amp;C115</f>
        <v>3150607000</v>
      </c>
      <c r="F115" s="5" t="n">
        <f aca="false">IFERROR(VLOOKUP(E115,'Legacy Data'!$C$2:$D$1702,2,FALSE()),"No legacy match")</f>
        <v>108.75</v>
      </c>
      <c r="G115" s="5" t="n">
        <f aca="false">IFERROR(F115-D115,"N/A")</f>
        <v>0</v>
      </c>
      <c r="H115" s="1" t="str">
        <f aca="false">IF(ISNUMBER(G115),IF(G115=0,"Match","Variance"),"Check")</f>
        <v>Match</v>
      </c>
    </row>
    <row r="116" customFormat="false" ht="15.75" hidden="false" customHeight="true" outlineLevel="0" collapsed="false">
      <c r="B116" s="2" t="s">
        <v>68</v>
      </c>
      <c r="C116" s="2" t="s">
        <v>32</v>
      </c>
      <c r="D116" s="4" t="n">
        <v>1249</v>
      </c>
      <c r="E116" s="1" t="str">
        <f aca="false">B116&amp;C116</f>
        <v>3150607010</v>
      </c>
      <c r="F116" s="5" t="n">
        <f aca="false">IFERROR(VLOOKUP(E116,'Legacy Data'!$C$2:$D$1702,2,FALSE()),"No legacy match")</f>
        <v>1249</v>
      </c>
      <c r="G116" s="5" t="n">
        <f aca="false">IFERROR(F116-D116,"N/A")</f>
        <v>0</v>
      </c>
      <c r="H116" s="1" t="str">
        <f aca="false">IF(ISNUMBER(G116),IF(G116=0,"Match","Variance"),"Check")</f>
        <v>Match</v>
      </c>
    </row>
    <row r="117" customFormat="false" ht="15.75" hidden="false" customHeight="true" outlineLevel="0" collapsed="false">
      <c r="B117" s="2" t="s">
        <v>68</v>
      </c>
      <c r="C117" s="2" t="s">
        <v>33</v>
      </c>
      <c r="D117" s="4" t="n">
        <v>9739.51</v>
      </c>
      <c r="E117" s="1" t="str">
        <f aca="false">B117&amp;C117</f>
        <v>3150604031</v>
      </c>
      <c r="F117" s="5" t="n">
        <f aca="false">IFERROR(VLOOKUP(E117,'Legacy Data'!$C$2:$D$1702,2,FALSE()),"No legacy match")</f>
        <v>9739.51</v>
      </c>
      <c r="G117" s="5" t="n">
        <f aca="false">IFERROR(F117-D117,"N/A")</f>
        <v>0</v>
      </c>
      <c r="H117" s="1" t="str">
        <f aca="false">IF(ISNUMBER(G117),IF(G117=0,"Match","Variance"),"Check")</f>
        <v>Match</v>
      </c>
    </row>
    <row r="118" customFormat="false" ht="15.75" hidden="false" customHeight="true" outlineLevel="0" collapsed="false">
      <c r="B118" s="2" t="s">
        <v>69</v>
      </c>
      <c r="C118" s="2" t="s">
        <v>8</v>
      </c>
      <c r="D118" s="4" t="n">
        <v>9699700.04</v>
      </c>
      <c r="E118" s="1" t="str">
        <f aca="false">B118&amp;C118</f>
        <v>3200602000</v>
      </c>
      <c r="F118" s="5" t="n">
        <f aca="false">IFERROR(VLOOKUP(E118,'Legacy Data'!$C$2:$D$1702,2,FALSE()),"No legacy match")</f>
        <v>9699700.04</v>
      </c>
      <c r="G118" s="5" t="n">
        <f aca="false">IFERROR(F118-D118,"N/A")</f>
        <v>0</v>
      </c>
      <c r="H118" s="1" t="str">
        <f aca="false">IF(ISNUMBER(G118),IF(G118=0,"Match","Variance"),"Check")</f>
        <v>Match</v>
      </c>
    </row>
    <row r="119" customFormat="false" ht="15.75" hidden="false" customHeight="true" outlineLevel="0" collapsed="false">
      <c r="B119" s="2" t="s">
        <v>69</v>
      </c>
      <c r="C119" s="2" t="s">
        <v>70</v>
      </c>
      <c r="D119" s="4" t="n">
        <v>2076831.5</v>
      </c>
      <c r="E119" s="1" t="str">
        <f aca="false">B119&amp;C119</f>
        <v>3200602001</v>
      </c>
      <c r="F119" s="5" t="n">
        <f aca="false">IFERROR(VLOOKUP(E119,'Legacy Data'!$C$2:$D$1702,2,FALSE()),"No legacy match")</f>
        <v>2076831.5</v>
      </c>
      <c r="G119" s="5" t="n">
        <f aca="false">IFERROR(F119-D119,"N/A")</f>
        <v>0</v>
      </c>
      <c r="H119" s="1" t="str">
        <f aca="false">IF(ISNUMBER(G119),IF(G119=0,"Match","Variance"),"Check")</f>
        <v>Match</v>
      </c>
    </row>
    <row r="120" customFormat="false" ht="15.75" hidden="false" customHeight="true" outlineLevel="0" collapsed="false">
      <c r="B120" s="2" t="s">
        <v>69</v>
      </c>
      <c r="C120" s="2" t="s">
        <v>41</v>
      </c>
      <c r="D120" s="4" t="n">
        <v>-707823.3</v>
      </c>
      <c r="E120" s="1" t="str">
        <f aca="false">B120&amp;C120</f>
        <v>3200602002</v>
      </c>
      <c r="F120" s="5" t="n">
        <f aca="false">IFERROR(VLOOKUP(E120,'Legacy Data'!$C$2:$D$1702,2,FALSE()),"No legacy match")</f>
        <v>-707823.3</v>
      </c>
      <c r="G120" s="5" t="n">
        <f aca="false">IFERROR(F120-D120,"N/A")</f>
        <v>0</v>
      </c>
      <c r="H120" s="1" t="str">
        <f aca="false">IF(ISNUMBER(G120),IF(G120=0,"Match","Variance"),"Check")</f>
        <v>Match</v>
      </c>
    </row>
    <row r="121" customFormat="false" ht="15.75" hidden="false" customHeight="true" outlineLevel="0" collapsed="false">
      <c r="B121" s="2" t="s">
        <v>69</v>
      </c>
      <c r="C121" s="2" t="s">
        <v>9</v>
      </c>
      <c r="D121" s="4" t="n">
        <v>5943702.99</v>
      </c>
      <c r="E121" s="1" t="str">
        <f aca="false">B121&amp;C121</f>
        <v>3200602003</v>
      </c>
      <c r="F121" s="5" t="n">
        <f aca="false">IFERROR(VLOOKUP(E121,'Legacy Data'!$C$2:$D$1702,2,FALSE()),"No legacy match")</f>
        <v>5943702.99</v>
      </c>
      <c r="G121" s="5" t="n">
        <f aca="false">IFERROR(F121-D121,"N/A")</f>
        <v>0</v>
      </c>
      <c r="H121" s="1" t="str">
        <f aca="false">IF(ISNUMBER(G121),IF(G121=0,"Match","Variance"),"Check")</f>
        <v>Match</v>
      </c>
    </row>
    <row r="122" customFormat="false" ht="15.75" hidden="false" customHeight="true" outlineLevel="0" collapsed="false">
      <c r="B122" s="2" t="s">
        <v>69</v>
      </c>
      <c r="C122" s="2" t="s">
        <v>10</v>
      </c>
      <c r="D122" s="4" t="n">
        <v>838473.23</v>
      </c>
      <c r="E122" s="1" t="str">
        <f aca="false">B122&amp;C122</f>
        <v>3200602004</v>
      </c>
      <c r="F122" s="5" t="n">
        <f aca="false">IFERROR(VLOOKUP(E122,'Legacy Data'!$C$2:$D$1702,2,FALSE()),"No legacy match")</f>
        <v>838473.23</v>
      </c>
      <c r="G122" s="5" t="n">
        <f aca="false">IFERROR(F122-D122,"N/A")</f>
        <v>0</v>
      </c>
      <c r="H122" s="1" t="str">
        <f aca="false">IF(ISNUMBER(G122),IF(G122=0,"Match","Variance"),"Check")</f>
        <v>Match</v>
      </c>
    </row>
    <row r="123" customFormat="false" ht="15.75" hidden="false" customHeight="true" outlineLevel="0" collapsed="false">
      <c r="B123" s="2" t="s">
        <v>69</v>
      </c>
      <c r="C123" s="2" t="s">
        <v>11</v>
      </c>
      <c r="D123" s="4" t="n">
        <v>54303.61</v>
      </c>
      <c r="E123" s="1" t="str">
        <f aca="false">B123&amp;C123</f>
        <v>3200602005</v>
      </c>
      <c r="F123" s="5" t="n">
        <f aca="false">IFERROR(VLOOKUP(E123,'Legacy Data'!$C$2:$D$1702,2,FALSE()),"No legacy match")</f>
        <v>54303.61</v>
      </c>
      <c r="G123" s="5" t="n">
        <f aca="false">IFERROR(F123-D123,"N/A")</f>
        <v>0</v>
      </c>
      <c r="H123" s="1" t="str">
        <f aca="false">IF(ISNUMBER(G123),IF(G123=0,"Match","Variance"),"Check")</f>
        <v>Match</v>
      </c>
    </row>
    <row r="124" customFormat="false" ht="15.75" hidden="false" customHeight="true" outlineLevel="0" collapsed="false">
      <c r="B124" s="2" t="s">
        <v>69</v>
      </c>
      <c r="C124" s="2" t="s">
        <v>12</v>
      </c>
      <c r="D124" s="4" t="n">
        <v>2101816.1</v>
      </c>
      <c r="E124" s="1" t="str">
        <f aca="false">B124&amp;C124</f>
        <v>3200602010</v>
      </c>
      <c r="F124" s="5" t="n">
        <f aca="false">IFERROR(VLOOKUP(E124,'Legacy Data'!$C$2:$D$1702,2,FALSE()),"No legacy match")</f>
        <v>2101816.1</v>
      </c>
      <c r="G124" s="5" t="n">
        <f aca="false">IFERROR(F124-D124,"N/A")</f>
        <v>0</v>
      </c>
      <c r="H124" s="1" t="str">
        <f aca="false">IF(ISNUMBER(G124),IF(G124=0,"Match","Variance"),"Check")</f>
        <v>Match</v>
      </c>
    </row>
    <row r="125" customFormat="false" ht="15.75" hidden="false" customHeight="true" outlineLevel="0" collapsed="false">
      <c r="B125" s="2" t="s">
        <v>69</v>
      </c>
      <c r="C125" s="2" t="s">
        <v>13</v>
      </c>
      <c r="D125" s="4" t="n">
        <v>668559.77</v>
      </c>
      <c r="E125" s="1" t="str">
        <f aca="false">B125&amp;C125</f>
        <v>3200602020</v>
      </c>
      <c r="F125" s="5" t="n">
        <f aca="false">IFERROR(VLOOKUP(E125,'Legacy Data'!$C$2:$D$1702,2,FALSE()),"No legacy match")</f>
        <v>668559.77</v>
      </c>
      <c r="G125" s="5" t="n">
        <f aca="false">IFERROR(F125-D125,"N/A")</f>
        <v>0</v>
      </c>
      <c r="H125" s="1" t="str">
        <f aca="false">IF(ISNUMBER(G125),IF(G125=0,"Match","Variance"),"Check")</f>
        <v>Match</v>
      </c>
    </row>
    <row r="126" customFormat="false" ht="15.75" hidden="false" customHeight="true" outlineLevel="0" collapsed="false">
      <c r="B126" s="2" t="s">
        <v>69</v>
      </c>
      <c r="C126" s="2" t="s">
        <v>14</v>
      </c>
      <c r="D126" s="4" t="n">
        <v>140861.84</v>
      </c>
      <c r="E126" s="1" t="str">
        <f aca="false">B126&amp;C126</f>
        <v>3200602030</v>
      </c>
      <c r="F126" s="5" t="n">
        <f aca="false">IFERROR(VLOOKUP(E126,'Legacy Data'!$C$2:$D$1702,2,FALSE()),"No legacy match")</f>
        <v>140861.84</v>
      </c>
      <c r="G126" s="5" t="n">
        <f aca="false">IFERROR(F126-D126,"N/A")</f>
        <v>0</v>
      </c>
      <c r="H126" s="1" t="str">
        <f aca="false">IF(ISNUMBER(G126),IF(G126=0,"Match","Variance"),"Check")</f>
        <v>Match</v>
      </c>
    </row>
    <row r="127" customFormat="false" ht="15.75" hidden="false" customHeight="true" outlineLevel="0" collapsed="false">
      <c r="B127" s="2" t="s">
        <v>69</v>
      </c>
      <c r="C127" s="2" t="s">
        <v>42</v>
      </c>
      <c r="D127" s="4" t="n">
        <v>26072.52</v>
      </c>
      <c r="E127" s="1" t="str">
        <f aca="false">B127&amp;C127</f>
        <v>3200602040</v>
      </c>
      <c r="F127" s="5" t="n">
        <f aca="false">IFERROR(VLOOKUP(E127,'Legacy Data'!$C$2:$D$1702,2,FALSE()),"No legacy match")</f>
        <v>26072.52</v>
      </c>
      <c r="G127" s="5" t="n">
        <f aca="false">IFERROR(F127-D127,"N/A")</f>
        <v>0</v>
      </c>
      <c r="H127" s="1" t="str">
        <f aca="false">IF(ISNUMBER(G127),IF(G127=0,"Match","Variance"),"Check")</f>
        <v>Match</v>
      </c>
    </row>
    <row r="128" customFormat="false" ht="15.75" hidden="false" customHeight="true" outlineLevel="0" collapsed="false">
      <c r="B128" s="2" t="s">
        <v>69</v>
      </c>
      <c r="C128" s="2" t="s">
        <v>43</v>
      </c>
      <c r="D128" s="4" t="n">
        <v>47870.22</v>
      </c>
      <c r="E128" s="1" t="str">
        <f aca="false">B128&amp;C128</f>
        <v>3200602050</v>
      </c>
      <c r="F128" s="5" t="n">
        <f aca="false">IFERROR(VLOOKUP(E128,'Legacy Data'!$C$2:$D$1702,2,FALSE()),"No legacy match")</f>
        <v>47870.22</v>
      </c>
      <c r="G128" s="5" t="n">
        <f aca="false">IFERROR(F128-D128,"N/A")</f>
        <v>0</v>
      </c>
      <c r="H128" s="1" t="str">
        <f aca="false">IF(ISNUMBER(G128),IF(G128=0,"Match","Variance"),"Check")</f>
        <v>Match</v>
      </c>
    </row>
    <row r="129" customFormat="false" ht="15.75" hidden="false" customHeight="true" outlineLevel="0" collapsed="false">
      <c r="B129" s="2" t="s">
        <v>69</v>
      </c>
      <c r="C129" s="2" t="s">
        <v>44</v>
      </c>
      <c r="D129" s="4" t="n">
        <v>5811.31</v>
      </c>
      <c r="E129" s="1" t="str">
        <f aca="false">B129&amp;C129</f>
        <v>3200602060</v>
      </c>
      <c r="F129" s="5" t="n">
        <f aca="false">IFERROR(VLOOKUP(E129,'Legacy Data'!$C$2:$D$1702,2,FALSE()),"No legacy match")</f>
        <v>5811.31</v>
      </c>
      <c r="G129" s="5" t="n">
        <f aca="false">IFERROR(F129-D129,"N/A")</f>
        <v>0</v>
      </c>
      <c r="H129" s="1" t="str">
        <f aca="false">IF(ISNUMBER(G129),IF(G129=0,"Match","Variance"),"Check")</f>
        <v>Match</v>
      </c>
    </row>
    <row r="130" customFormat="false" ht="15.75" hidden="false" customHeight="true" outlineLevel="0" collapsed="false">
      <c r="B130" s="2" t="s">
        <v>69</v>
      </c>
      <c r="C130" s="2" t="s">
        <v>15</v>
      </c>
      <c r="D130" s="4" t="n">
        <v>154467.47</v>
      </c>
      <c r="E130" s="1" t="str">
        <f aca="false">B130&amp;C130</f>
        <v>3200602070</v>
      </c>
      <c r="F130" s="5" t="n">
        <f aca="false">IFERROR(VLOOKUP(E130,'Legacy Data'!$C$2:$D$1702,2,FALSE()),"No legacy match")</f>
        <v>154467.47</v>
      </c>
      <c r="G130" s="5" t="n">
        <f aca="false">IFERROR(F130-D130,"N/A")</f>
        <v>0</v>
      </c>
      <c r="H130" s="1" t="str">
        <f aca="false">IF(ISNUMBER(G130),IF(G130=0,"Match","Variance"),"Check")</f>
        <v>Match</v>
      </c>
    </row>
    <row r="131" customFormat="false" ht="15.75" hidden="false" customHeight="true" outlineLevel="0" collapsed="false">
      <c r="B131" s="2" t="s">
        <v>69</v>
      </c>
      <c r="C131" s="2" t="s">
        <v>45</v>
      </c>
      <c r="D131" s="4" t="n">
        <v>15486.72</v>
      </c>
      <c r="E131" s="1" t="str">
        <f aca="false">B131&amp;C131</f>
        <v>3200602071</v>
      </c>
      <c r="F131" s="5" t="n">
        <f aca="false">IFERROR(VLOOKUP(E131,'Legacy Data'!$C$2:$D$1702,2,FALSE()),"No legacy match")</f>
        <v>15486.72</v>
      </c>
      <c r="G131" s="5" t="n">
        <f aca="false">IFERROR(F131-D131,"N/A")</f>
        <v>0</v>
      </c>
      <c r="H131" s="1" t="str">
        <f aca="false">IF(ISNUMBER(G131),IF(G131=0,"Match","Variance"),"Check")</f>
        <v>Match</v>
      </c>
    </row>
    <row r="132" customFormat="false" ht="15.75" hidden="false" customHeight="true" outlineLevel="0" collapsed="false">
      <c r="B132" s="2" t="s">
        <v>69</v>
      </c>
      <c r="C132" s="2" t="s">
        <v>16</v>
      </c>
      <c r="D132" s="4" t="n">
        <v>1743841.98</v>
      </c>
      <c r="E132" s="1" t="str">
        <f aca="false">B132&amp;C132</f>
        <v>3200602072</v>
      </c>
      <c r="F132" s="5" t="n">
        <f aca="false">IFERROR(VLOOKUP(E132,'Legacy Data'!$C$2:$D$1702,2,FALSE()),"No legacy match")</f>
        <v>1743841.98</v>
      </c>
      <c r="G132" s="5" t="n">
        <f aca="false">IFERROR(F132-D132,"N/A")</f>
        <v>0</v>
      </c>
      <c r="H132" s="1" t="str">
        <f aca="false">IF(ISNUMBER(G132),IF(G132=0,"Match","Variance"),"Check")</f>
        <v>Match</v>
      </c>
    </row>
    <row r="133" customFormat="false" ht="15.75" hidden="false" customHeight="true" outlineLevel="0" collapsed="false">
      <c r="B133" s="2" t="s">
        <v>69</v>
      </c>
      <c r="C133" s="2" t="s">
        <v>46</v>
      </c>
      <c r="D133" s="4" t="n">
        <v>-12782.35</v>
      </c>
      <c r="E133" s="1" t="str">
        <f aca="false">B133&amp;C133</f>
        <v>3200602073</v>
      </c>
      <c r="F133" s="5" t="n">
        <f aca="false">IFERROR(VLOOKUP(E133,'Legacy Data'!$C$2:$D$1702,2,FALSE()),"No legacy match")</f>
        <v>-12782.35</v>
      </c>
      <c r="G133" s="5" t="n">
        <f aca="false">IFERROR(F133-D133,"N/A")</f>
        <v>0</v>
      </c>
      <c r="H133" s="1" t="str">
        <f aca="false">IF(ISNUMBER(G133),IF(G133=0,"Match","Variance"),"Check")</f>
        <v>Match</v>
      </c>
    </row>
    <row r="134" customFormat="false" ht="15.75" hidden="false" customHeight="true" outlineLevel="0" collapsed="false">
      <c r="B134" s="2" t="s">
        <v>69</v>
      </c>
      <c r="C134" s="2" t="s">
        <v>48</v>
      </c>
      <c r="D134" s="4" t="n">
        <v>197157.3</v>
      </c>
      <c r="E134" s="1" t="str">
        <f aca="false">B134&amp;C134</f>
        <v>3200602080</v>
      </c>
      <c r="F134" s="5" t="n">
        <f aca="false">IFERROR(VLOOKUP(E134,'Legacy Data'!$C$2:$D$1702,2,FALSE()),"No legacy match")</f>
        <v>197157.3</v>
      </c>
      <c r="G134" s="5" t="n">
        <f aca="false">IFERROR(F134-D134,"N/A")</f>
        <v>0</v>
      </c>
      <c r="H134" s="1" t="str">
        <f aca="false">IF(ISNUMBER(G134),IF(G134=0,"Match","Variance"),"Check")</f>
        <v>Match</v>
      </c>
    </row>
    <row r="135" customFormat="false" ht="15.75" hidden="false" customHeight="true" outlineLevel="0" collapsed="false">
      <c r="B135" s="2" t="s">
        <v>69</v>
      </c>
      <c r="C135" s="2" t="s">
        <v>17</v>
      </c>
      <c r="D135" s="4" t="n">
        <v>1950536.79</v>
      </c>
      <c r="E135" s="1" t="str">
        <f aca="false">B135&amp;C135</f>
        <v>3200603000</v>
      </c>
      <c r="F135" s="5" t="n">
        <f aca="false">IFERROR(VLOOKUP(E135,'Legacy Data'!$C$2:$D$1702,2,FALSE()),"No legacy match")</f>
        <v>1950536.79</v>
      </c>
      <c r="G135" s="5" t="n">
        <f aca="false">IFERROR(F135-D135,"N/A")</f>
        <v>0</v>
      </c>
      <c r="H135" s="1" t="str">
        <f aca="false">IF(ISNUMBER(G135),IF(G135=0,"Match","Variance"),"Check")</f>
        <v>Match</v>
      </c>
    </row>
    <row r="136" customFormat="false" ht="15.75" hidden="false" customHeight="true" outlineLevel="0" collapsed="false">
      <c r="B136" s="2" t="s">
        <v>69</v>
      </c>
      <c r="C136" s="2" t="s">
        <v>71</v>
      </c>
      <c r="D136" s="4" t="n">
        <v>882274.86</v>
      </c>
      <c r="E136" s="1" t="str">
        <f aca="false">B136&amp;C136</f>
        <v>3200603001</v>
      </c>
      <c r="F136" s="5" t="n">
        <f aca="false">IFERROR(VLOOKUP(E136,'Legacy Data'!$C$2:$D$1702,2,FALSE()),"No legacy match")</f>
        <v>882274.86</v>
      </c>
      <c r="G136" s="5" t="n">
        <f aca="false">IFERROR(F136-D136,"N/A")</f>
        <v>0</v>
      </c>
      <c r="H136" s="1" t="str">
        <f aca="false">IF(ISNUMBER(G136),IF(G136=0,"Match","Variance"),"Check")</f>
        <v>Match</v>
      </c>
    </row>
    <row r="137" customFormat="false" ht="15.75" hidden="false" customHeight="true" outlineLevel="0" collapsed="false">
      <c r="B137" s="2" t="s">
        <v>69</v>
      </c>
      <c r="C137" s="2" t="s">
        <v>18</v>
      </c>
      <c r="D137" s="4" t="n">
        <v>0</v>
      </c>
      <c r="E137" s="1" t="str">
        <f aca="false">B137&amp;C137</f>
        <v>3200910003</v>
      </c>
      <c r="F137" s="5" t="n">
        <f aca="false">IFERROR(VLOOKUP(E137,'Legacy Data'!$C$2:$D$1702,2,FALSE()),"No legacy match")</f>
        <v>0</v>
      </c>
      <c r="G137" s="5" t="n">
        <f aca="false">IFERROR(F137-D137,"N/A")</f>
        <v>0</v>
      </c>
      <c r="H137" s="1" t="str">
        <f aca="false">IF(ISNUMBER(G137),IF(G137=0,"Match","Variance"),"Check")</f>
        <v>Match</v>
      </c>
    </row>
    <row r="138" customFormat="false" ht="15.75" hidden="false" customHeight="true" outlineLevel="0" collapsed="false">
      <c r="B138" s="2" t="s">
        <v>69</v>
      </c>
      <c r="C138" s="2" t="s">
        <v>19</v>
      </c>
      <c r="D138" s="4" t="n">
        <v>4772</v>
      </c>
      <c r="E138" s="1" t="str">
        <f aca="false">B138&amp;C138</f>
        <v>3200604040</v>
      </c>
      <c r="F138" s="5" t="n">
        <f aca="false">IFERROR(VLOOKUP(E138,'Legacy Data'!$C$2:$D$1702,2,FALSE()),"No legacy match")</f>
        <v>4772</v>
      </c>
      <c r="G138" s="5" t="n">
        <f aca="false">IFERROR(F138-D138,"N/A")</f>
        <v>0</v>
      </c>
      <c r="H138" s="1" t="str">
        <f aca="false">IF(ISNUMBER(G138),IF(G138=0,"Match","Variance"),"Check")</f>
        <v>Match</v>
      </c>
    </row>
    <row r="139" customFormat="false" ht="15.75" hidden="false" customHeight="true" outlineLevel="0" collapsed="false">
      <c r="B139" s="2" t="s">
        <v>69</v>
      </c>
      <c r="C139" s="2" t="s">
        <v>20</v>
      </c>
      <c r="D139" s="4" t="n">
        <v>0</v>
      </c>
      <c r="E139" s="1" t="str">
        <f aca="false">B139&amp;C139</f>
        <v>3200910001</v>
      </c>
      <c r="F139" s="5" t="n">
        <f aca="false">IFERROR(VLOOKUP(E139,'Legacy Data'!$C$2:$D$1702,2,FALSE()),"No legacy match")</f>
        <v>0</v>
      </c>
      <c r="G139" s="5" t="n">
        <f aca="false">IFERROR(F139-D139,"N/A")</f>
        <v>0</v>
      </c>
      <c r="H139" s="1" t="str">
        <f aca="false">IF(ISNUMBER(G139),IF(G139=0,"Match","Variance"),"Check")</f>
        <v>Match</v>
      </c>
    </row>
    <row r="140" customFormat="false" ht="15.75" hidden="false" customHeight="true" outlineLevel="0" collapsed="false">
      <c r="B140" s="2" t="s">
        <v>69</v>
      </c>
      <c r="C140" s="2" t="s">
        <v>22</v>
      </c>
      <c r="D140" s="4" t="n">
        <v>118025</v>
      </c>
      <c r="E140" s="1" t="str">
        <f aca="false">B140&amp;C140</f>
        <v>3200604010</v>
      </c>
      <c r="F140" s="5" t="n">
        <f aca="false">IFERROR(VLOOKUP(E140,'Legacy Data'!$C$2:$D$1702,2,FALSE()),"No legacy match")</f>
        <v>118025</v>
      </c>
      <c r="G140" s="5" t="n">
        <f aca="false">IFERROR(F140-D140,"N/A")</f>
        <v>0</v>
      </c>
      <c r="H140" s="1" t="str">
        <f aca="false">IF(ISNUMBER(G140),IF(G140=0,"Match","Variance"),"Check")</f>
        <v>Match</v>
      </c>
    </row>
    <row r="141" customFormat="false" ht="15.75" hidden="false" customHeight="true" outlineLevel="0" collapsed="false">
      <c r="B141" s="2" t="s">
        <v>69</v>
      </c>
      <c r="C141" s="2" t="s">
        <v>59</v>
      </c>
      <c r="D141" s="4" t="n">
        <v>20</v>
      </c>
      <c r="E141" s="1" t="str">
        <f aca="false">B141&amp;C141</f>
        <v>3200608010</v>
      </c>
      <c r="F141" s="5" t="n">
        <f aca="false">IFERROR(VLOOKUP(E141,'Legacy Data'!$C$2:$D$1702,2,FALSE()),"No legacy match")</f>
        <v>20</v>
      </c>
      <c r="G141" s="5" t="n">
        <f aca="false">IFERROR(F141-D141,"N/A")</f>
        <v>0</v>
      </c>
      <c r="H141" s="1" t="str">
        <f aca="false">IF(ISNUMBER(G141),IF(G141=0,"Match","Variance"),"Check")</f>
        <v>Match</v>
      </c>
    </row>
    <row r="142" customFormat="false" ht="15.75" hidden="false" customHeight="true" outlineLevel="0" collapsed="false">
      <c r="B142" s="2" t="s">
        <v>69</v>
      </c>
      <c r="C142" s="2" t="s">
        <v>61</v>
      </c>
      <c r="D142" s="4" t="n">
        <v>6589.18</v>
      </c>
      <c r="E142" s="1" t="str">
        <f aca="false">B142&amp;C142</f>
        <v>3200608000</v>
      </c>
      <c r="F142" s="5" t="n">
        <f aca="false">IFERROR(VLOOKUP(E142,'Legacy Data'!$C$2:$D$1702,2,FALSE()),"No legacy match")</f>
        <v>6589.18</v>
      </c>
      <c r="G142" s="5" t="n">
        <f aca="false">IFERROR(F142-D142,"N/A")</f>
        <v>0</v>
      </c>
      <c r="H142" s="1" t="str">
        <f aca="false">IF(ISNUMBER(G142),IF(G142=0,"Match","Variance"),"Check")</f>
        <v>Match</v>
      </c>
    </row>
    <row r="143" customFormat="false" ht="15.75" hidden="false" customHeight="true" outlineLevel="0" collapsed="false">
      <c r="B143" s="2" t="s">
        <v>69</v>
      </c>
      <c r="C143" s="2" t="s">
        <v>24</v>
      </c>
      <c r="D143" s="4" t="n">
        <v>110405.93</v>
      </c>
      <c r="E143" s="1" t="str">
        <f aca="false">B143&amp;C143</f>
        <v>3200609004</v>
      </c>
      <c r="F143" s="5" t="n">
        <f aca="false">IFERROR(VLOOKUP(E143,'Legacy Data'!$C$2:$D$1702,2,FALSE()),"No legacy match")</f>
        <v>110405.93</v>
      </c>
      <c r="G143" s="5" t="n">
        <f aca="false">IFERROR(F143-D143,"N/A")</f>
        <v>0</v>
      </c>
      <c r="H143" s="1" t="str">
        <f aca="false">IF(ISNUMBER(G143),IF(G143=0,"Match","Variance"),"Check")</f>
        <v>Match</v>
      </c>
    </row>
    <row r="144" customFormat="false" ht="15.75" hidden="false" customHeight="true" outlineLevel="0" collapsed="false">
      <c r="B144" s="2" t="s">
        <v>69</v>
      </c>
      <c r="C144" s="2" t="s">
        <v>37</v>
      </c>
      <c r="D144" s="4" t="n">
        <v>156.69</v>
      </c>
      <c r="E144" s="1" t="str">
        <f aca="false">B144&amp;C144</f>
        <v>3200609008</v>
      </c>
      <c r="F144" s="5" t="n">
        <f aca="false">IFERROR(VLOOKUP(E144,'Legacy Data'!$C$2:$D$1702,2,FALSE()),"No legacy match")</f>
        <v>156.69</v>
      </c>
      <c r="G144" s="5" t="n">
        <f aca="false">IFERROR(F144-D144,"N/A")</f>
        <v>0</v>
      </c>
      <c r="H144" s="1" t="str">
        <f aca="false">IF(ISNUMBER(G144),IF(G144=0,"Match","Variance"),"Check")</f>
        <v>Match</v>
      </c>
    </row>
    <row r="145" customFormat="false" ht="15.75" hidden="false" customHeight="true" outlineLevel="0" collapsed="false">
      <c r="B145" s="2" t="s">
        <v>69</v>
      </c>
      <c r="C145" s="2" t="s">
        <v>25</v>
      </c>
      <c r="D145" s="4" t="n">
        <v>104</v>
      </c>
      <c r="E145" s="1" t="str">
        <f aca="false">B145&amp;C145</f>
        <v>3200609005</v>
      </c>
      <c r="F145" s="5" t="n">
        <f aca="false">IFERROR(VLOOKUP(E145,'Legacy Data'!$C$2:$D$1702,2,FALSE()),"No legacy match")</f>
        <v>104</v>
      </c>
      <c r="G145" s="5" t="n">
        <f aca="false">IFERROR(F145-D145,"N/A")</f>
        <v>0</v>
      </c>
      <c r="H145" s="1" t="str">
        <f aca="false">IF(ISNUMBER(G145),IF(G145=0,"Match","Variance"),"Check")</f>
        <v>Match</v>
      </c>
    </row>
    <row r="146" customFormat="false" ht="15.75" hidden="false" customHeight="true" outlineLevel="0" collapsed="false">
      <c r="B146" s="2" t="s">
        <v>69</v>
      </c>
      <c r="C146" s="2" t="s">
        <v>26</v>
      </c>
      <c r="D146" s="4" t="n">
        <v>2754297.21</v>
      </c>
      <c r="E146" s="1" t="str">
        <f aca="false">B146&amp;C146</f>
        <v>3200609006</v>
      </c>
      <c r="F146" s="5" t="n">
        <f aca="false">IFERROR(VLOOKUP(E146,'Legacy Data'!$C$2:$D$1702,2,FALSE()),"No legacy match")</f>
        <v>2754297.21</v>
      </c>
      <c r="G146" s="5" t="n">
        <f aca="false">IFERROR(F146-D146,"N/A")</f>
        <v>0</v>
      </c>
      <c r="H146" s="1" t="str">
        <f aca="false">IF(ISNUMBER(G146),IF(G146=0,"Match","Variance"),"Check")</f>
        <v>Match</v>
      </c>
    </row>
    <row r="147" customFormat="false" ht="15.75" hidden="false" customHeight="true" outlineLevel="0" collapsed="false">
      <c r="B147" s="2" t="s">
        <v>69</v>
      </c>
      <c r="C147" s="2" t="s">
        <v>63</v>
      </c>
      <c r="D147" s="4" t="n">
        <v>9999.09</v>
      </c>
      <c r="E147" s="1" t="str">
        <f aca="false">B147&amp;C147</f>
        <v>3200609000</v>
      </c>
      <c r="F147" s="5" t="n">
        <f aca="false">IFERROR(VLOOKUP(E147,'Legacy Data'!$C$2:$D$1702,2,FALSE()),"No legacy match")</f>
        <v>9999.09</v>
      </c>
      <c r="G147" s="5" t="n">
        <f aca="false">IFERROR(F147-D147,"N/A")</f>
        <v>0</v>
      </c>
      <c r="H147" s="1" t="str">
        <f aca="false">IF(ISNUMBER(G147),IF(G147=0,"Match","Variance"),"Check")</f>
        <v>Match</v>
      </c>
    </row>
    <row r="148" customFormat="false" ht="15.75" hidden="false" customHeight="true" outlineLevel="0" collapsed="false">
      <c r="B148" s="2" t="s">
        <v>69</v>
      </c>
      <c r="C148" s="2" t="s">
        <v>72</v>
      </c>
      <c r="D148" s="4" t="n">
        <v>1015</v>
      </c>
      <c r="E148" s="1" t="str">
        <f aca="false">B148&amp;C148</f>
        <v>3200609001</v>
      </c>
      <c r="F148" s="5" t="n">
        <f aca="false">IFERROR(VLOOKUP(E148,'Legacy Data'!$C$2:$D$1702,2,FALSE()),"No legacy match")</f>
        <v>1015</v>
      </c>
      <c r="G148" s="5" t="n">
        <f aca="false">IFERROR(F148-D148,"N/A")</f>
        <v>0</v>
      </c>
      <c r="H148" s="1" t="str">
        <f aca="false">IF(ISNUMBER(G148),IF(G148=0,"Match","Variance"),"Check")</f>
        <v>Match</v>
      </c>
    </row>
    <row r="149" customFormat="false" ht="15.75" hidden="false" customHeight="true" outlineLevel="0" collapsed="false">
      <c r="B149" s="2" t="s">
        <v>69</v>
      </c>
      <c r="C149" s="2" t="s">
        <v>27</v>
      </c>
      <c r="D149" s="4" t="n">
        <v>53325.41</v>
      </c>
      <c r="E149" s="1" t="str">
        <f aca="false">B149&amp;C149</f>
        <v>3200609002</v>
      </c>
      <c r="F149" s="5" t="n">
        <f aca="false">IFERROR(VLOOKUP(E149,'Legacy Data'!$C$2:$D$1702,2,FALSE()),"No legacy match")</f>
        <v>53325.41</v>
      </c>
      <c r="G149" s="5" t="n">
        <f aca="false">IFERROR(F149-D149,"N/A")</f>
        <v>0</v>
      </c>
      <c r="H149" s="1" t="str">
        <f aca="false">IF(ISNUMBER(G149),IF(G149=0,"Match","Variance"),"Check")</f>
        <v>Match</v>
      </c>
    </row>
    <row r="150" customFormat="false" ht="15.75" hidden="false" customHeight="true" outlineLevel="0" collapsed="false">
      <c r="B150" s="2" t="s">
        <v>69</v>
      </c>
      <c r="C150" s="2" t="s">
        <v>28</v>
      </c>
      <c r="D150" s="4" t="n">
        <v>281283.45</v>
      </c>
      <c r="E150" s="1" t="str">
        <f aca="false">B150&amp;C150</f>
        <v>3200609003</v>
      </c>
      <c r="F150" s="5" t="n">
        <f aca="false">IFERROR(VLOOKUP(E150,'Legacy Data'!$C$2:$D$1702,2,FALSE()),"No legacy match")</f>
        <v>281283.45</v>
      </c>
      <c r="G150" s="5" t="n">
        <f aca="false">IFERROR(F150-D150,"N/A")</f>
        <v>0</v>
      </c>
      <c r="H150" s="1" t="str">
        <f aca="false">IF(ISNUMBER(G150),IF(G150=0,"Match","Variance"),"Check")</f>
        <v>Match</v>
      </c>
    </row>
    <row r="151" customFormat="false" ht="15.75" hidden="false" customHeight="true" outlineLevel="0" collapsed="false">
      <c r="B151" s="2" t="s">
        <v>69</v>
      </c>
      <c r="C151" s="2" t="s">
        <v>29</v>
      </c>
      <c r="D151" s="4" t="n">
        <v>15095.63</v>
      </c>
      <c r="E151" s="1" t="str">
        <f aca="false">B151&amp;C151</f>
        <v>3200609009</v>
      </c>
      <c r="F151" s="5" t="n">
        <f aca="false">IFERROR(VLOOKUP(E151,'Legacy Data'!$C$2:$D$1702,2,FALSE()),"No legacy match")</f>
        <v>15095.63</v>
      </c>
      <c r="G151" s="5" t="n">
        <f aca="false">IFERROR(F151-D151,"N/A")</f>
        <v>0</v>
      </c>
      <c r="H151" s="1" t="str">
        <f aca="false">IF(ISNUMBER(G151),IF(G151=0,"Match","Variance"),"Check")</f>
        <v>Match</v>
      </c>
    </row>
    <row r="152" customFormat="false" ht="15.75" hidden="false" customHeight="true" outlineLevel="0" collapsed="false">
      <c r="B152" s="2" t="s">
        <v>69</v>
      </c>
      <c r="C152" s="2" t="s">
        <v>30</v>
      </c>
      <c r="D152" s="4" t="n">
        <v>54435.06</v>
      </c>
      <c r="E152" s="1" t="str">
        <f aca="false">B152&amp;C152</f>
        <v>3200609010</v>
      </c>
      <c r="F152" s="5" t="n">
        <f aca="false">IFERROR(VLOOKUP(E152,'Legacy Data'!$C$2:$D$1702,2,FALSE()),"No legacy match")</f>
        <v>54435.06</v>
      </c>
      <c r="G152" s="5" t="n">
        <f aca="false">IFERROR(F152-D152,"N/A")</f>
        <v>0</v>
      </c>
      <c r="H152" s="1" t="str">
        <f aca="false">IF(ISNUMBER(G152),IF(G152=0,"Match","Variance"),"Check")</f>
        <v>Match</v>
      </c>
    </row>
    <row r="153" customFormat="false" ht="15.75" hidden="false" customHeight="true" outlineLevel="0" collapsed="false">
      <c r="B153" s="2" t="s">
        <v>69</v>
      </c>
      <c r="C153" s="2" t="s">
        <v>39</v>
      </c>
      <c r="D153" s="4" t="n">
        <v>-38.45</v>
      </c>
      <c r="E153" s="1" t="str">
        <f aca="false">B153&amp;C153</f>
        <v>3200609012</v>
      </c>
      <c r="F153" s="5" t="n">
        <f aca="false">IFERROR(VLOOKUP(E153,'Legacy Data'!$C$2:$D$1702,2,FALSE()),"No legacy match")</f>
        <v>-38.45</v>
      </c>
      <c r="G153" s="5" t="n">
        <f aca="false">IFERROR(F153-D153,"N/A")</f>
        <v>0</v>
      </c>
      <c r="H153" s="1" t="str">
        <f aca="false">IF(ISNUMBER(G153),IF(G153=0,"Match","Variance"),"Check")</f>
        <v>Match</v>
      </c>
    </row>
    <row r="154" customFormat="false" ht="15.75" hidden="false" customHeight="true" outlineLevel="0" collapsed="false">
      <c r="B154" s="2" t="s">
        <v>69</v>
      </c>
      <c r="C154" s="2" t="s">
        <v>73</v>
      </c>
      <c r="D154" s="4" t="n">
        <v>16773530.08</v>
      </c>
      <c r="E154" s="1" t="str">
        <f aca="false">B154&amp;C154</f>
        <v>3200607020</v>
      </c>
      <c r="F154" s="5" t="n">
        <f aca="false">IFERROR(VLOOKUP(E154,'Legacy Data'!$C$2:$D$1702,2,FALSE()),"No legacy match")</f>
        <v>16773530.08</v>
      </c>
      <c r="G154" s="5" t="n">
        <f aca="false">IFERROR(F154-D154,"N/A")</f>
        <v>0</v>
      </c>
      <c r="H154" s="1" t="str">
        <f aca="false">IF(ISNUMBER(G154),IF(G154=0,"Match","Variance"),"Check")</f>
        <v>Match</v>
      </c>
    </row>
    <row r="155" customFormat="false" ht="15.75" hidden="false" customHeight="true" outlineLevel="0" collapsed="false">
      <c r="B155" s="2" t="s">
        <v>69</v>
      </c>
      <c r="C155" s="2" t="s">
        <v>31</v>
      </c>
      <c r="D155" s="4" t="n">
        <v>14059356.73</v>
      </c>
      <c r="E155" s="1" t="str">
        <f aca="false">B155&amp;C155</f>
        <v>3200607000</v>
      </c>
      <c r="F155" s="5" t="n">
        <f aca="false">IFERROR(VLOOKUP(E155,'Legacy Data'!$C$2:$D$1702,2,FALSE()),"No legacy match")</f>
        <v>14059356.73</v>
      </c>
      <c r="G155" s="5" t="n">
        <f aca="false">IFERROR(F155-D155,"N/A")</f>
        <v>0</v>
      </c>
      <c r="H155" s="1" t="str">
        <f aca="false">IF(ISNUMBER(G155),IF(G155=0,"Match","Variance"),"Check")</f>
        <v>Match</v>
      </c>
    </row>
    <row r="156" customFormat="false" ht="15.75" hidden="false" customHeight="true" outlineLevel="0" collapsed="false">
      <c r="B156" s="2" t="s">
        <v>69</v>
      </c>
      <c r="C156" s="2" t="s">
        <v>32</v>
      </c>
      <c r="D156" s="4" t="n">
        <v>3540.56</v>
      </c>
      <c r="E156" s="1" t="str">
        <f aca="false">B156&amp;C156</f>
        <v>3200607010</v>
      </c>
      <c r="F156" s="5" t="n">
        <f aca="false">IFERROR(VLOOKUP(E156,'Legacy Data'!$C$2:$D$1702,2,FALSE()),"No legacy match")</f>
        <v>3540.56</v>
      </c>
      <c r="G156" s="5" t="n">
        <f aca="false">IFERROR(F156-D156,"N/A")</f>
        <v>0</v>
      </c>
      <c r="H156" s="1" t="str">
        <f aca="false">IF(ISNUMBER(G156),IF(G156=0,"Match","Variance"),"Check")</f>
        <v>Match</v>
      </c>
    </row>
    <row r="157" customFormat="false" ht="15.75" hidden="false" customHeight="true" outlineLevel="0" collapsed="false">
      <c r="B157" s="2" t="s">
        <v>69</v>
      </c>
      <c r="C157" s="2" t="s">
        <v>74</v>
      </c>
      <c r="D157" s="4" t="n">
        <v>24947178.17</v>
      </c>
      <c r="E157" s="1" t="str">
        <f aca="false">B157&amp;C157</f>
        <v>3200604030</v>
      </c>
      <c r="F157" s="5" t="n">
        <f aca="false">IFERROR(VLOOKUP(E157,'Legacy Data'!$C$2:$D$1702,2,FALSE()),"No legacy match")</f>
        <v>24947178.17</v>
      </c>
      <c r="G157" s="5" t="n">
        <f aca="false">IFERROR(F157-D157,"N/A")</f>
        <v>0</v>
      </c>
      <c r="H157" s="1" t="str">
        <f aca="false">IF(ISNUMBER(G157),IF(G157=0,"Match","Variance"),"Check")</f>
        <v>Match</v>
      </c>
    </row>
    <row r="158" customFormat="false" ht="15.75" hidden="false" customHeight="true" outlineLevel="0" collapsed="false">
      <c r="B158" s="2" t="s">
        <v>69</v>
      </c>
      <c r="C158" s="2" t="s">
        <v>33</v>
      </c>
      <c r="D158" s="4" t="n">
        <v>37880823.85</v>
      </c>
      <c r="E158" s="1" t="str">
        <f aca="false">B158&amp;C158</f>
        <v>3200604031</v>
      </c>
      <c r="F158" s="5" t="n">
        <f aca="false">IFERROR(VLOOKUP(E158,'Legacy Data'!$C$2:$D$1702,2,FALSE()),"No legacy match")</f>
        <v>37880823.85</v>
      </c>
      <c r="G158" s="5" t="n">
        <f aca="false">IFERROR(F158-D158,"N/A")</f>
        <v>0</v>
      </c>
      <c r="H158" s="1" t="str">
        <f aca="false">IF(ISNUMBER(G158),IF(G158=0,"Match","Variance"),"Check")</f>
        <v>Match</v>
      </c>
    </row>
    <row r="159" customFormat="false" ht="15.75" hidden="false" customHeight="true" outlineLevel="0" collapsed="false">
      <c r="B159" s="2" t="s">
        <v>69</v>
      </c>
      <c r="C159" s="2" t="s">
        <v>34</v>
      </c>
      <c r="D159" s="4" t="n">
        <v>0</v>
      </c>
      <c r="E159" s="1" t="str">
        <f aca="false">B159&amp;C159</f>
        <v>3200910002</v>
      </c>
      <c r="F159" s="5" t="n">
        <f aca="false">IFERROR(VLOOKUP(E159,'Legacy Data'!$C$2:$D$1702,2,FALSE()),"No legacy match")</f>
        <v>0</v>
      </c>
      <c r="G159" s="5" t="n">
        <f aca="false">IFERROR(F159-D159,"N/A")</f>
        <v>0</v>
      </c>
      <c r="H159" s="1" t="str">
        <f aca="false">IF(ISNUMBER(G159),IF(G159=0,"Match","Variance"),"Check")</f>
        <v>Match</v>
      </c>
    </row>
    <row r="160" customFormat="false" ht="15.75" hidden="false" customHeight="true" outlineLevel="0" collapsed="false">
      <c r="B160" s="2" t="s">
        <v>69</v>
      </c>
      <c r="C160" s="2" t="s">
        <v>35</v>
      </c>
      <c r="D160" s="4" t="n">
        <v>0</v>
      </c>
      <c r="E160" s="1" t="str">
        <f aca="false">B160&amp;C160</f>
        <v>3200910004</v>
      </c>
      <c r="F160" s="5" t="n">
        <f aca="false">IFERROR(VLOOKUP(E160,'Legacy Data'!$C$2:$D$1702,2,FALSE()),"No legacy match")</f>
        <v>0</v>
      </c>
      <c r="G160" s="5" t="n">
        <f aca="false">IFERROR(F160-D160,"N/A")</f>
        <v>0</v>
      </c>
      <c r="H160" s="1" t="str">
        <f aca="false">IF(ISNUMBER(G160),IF(G160=0,"Match","Variance"),"Check")</f>
        <v>Match</v>
      </c>
    </row>
    <row r="161" customFormat="false" ht="15.75" hidden="false" customHeight="true" outlineLevel="0" collapsed="false">
      <c r="B161" s="2" t="s">
        <v>69</v>
      </c>
      <c r="C161" s="2" t="s">
        <v>75</v>
      </c>
      <c r="D161" s="4" t="n">
        <v>-50956.69</v>
      </c>
      <c r="E161" s="1" t="str">
        <f aca="false">B161&amp;C161</f>
        <v>3200607040</v>
      </c>
      <c r="F161" s="5" t="n">
        <f aca="false">IFERROR(VLOOKUP(E161,'Legacy Data'!$C$2:$D$1702,2,FALSE()),"No legacy match")</f>
        <v>-50956.69</v>
      </c>
      <c r="G161" s="5" t="n">
        <f aca="false">IFERROR(F161-D161,"N/A")</f>
        <v>0</v>
      </c>
      <c r="H161" s="1" t="str">
        <f aca="false">IF(ISNUMBER(G161),IF(G161=0,"Match","Variance"),"Check")</f>
        <v>Match</v>
      </c>
    </row>
    <row r="162" customFormat="false" ht="15.75" hidden="false" customHeight="true" outlineLevel="0" collapsed="false">
      <c r="B162" s="2" t="s">
        <v>76</v>
      </c>
      <c r="C162" s="2" t="s">
        <v>77</v>
      </c>
      <c r="D162" s="4" t="n">
        <v>1542.51</v>
      </c>
      <c r="E162" s="1" t="str">
        <f aca="false">B162&amp;C162</f>
        <v>3300601052</v>
      </c>
      <c r="F162" s="5" t="n">
        <f aca="false">IFERROR(VLOOKUP(E162,'Legacy Data'!$C$2:$D$1702,2,FALSE()),"No legacy match")</f>
        <v>1542.51</v>
      </c>
      <c r="G162" s="5" t="n">
        <f aca="false">IFERROR(F162-D162,"N/A")</f>
        <v>0</v>
      </c>
      <c r="H162" s="1" t="str">
        <f aca="false">IF(ISNUMBER(G162),IF(G162=0,"Match","Variance"),"Check")</f>
        <v>Match</v>
      </c>
    </row>
    <row r="163" customFormat="false" ht="15.75" hidden="false" customHeight="true" outlineLevel="0" collapsed="false">
      <c r="B163" s="2" t="s">
        <v>76</v>
      </c>
      <c r="C163" s="2" t="s">
        <v>8</v>
      </c>
      <c r="D163" s="4" t="n">
        <v>54262531.29</v>
      </c>
      <c r="E163" s="1" t="str">
        <f aca="false">B163&amp;C163</f>
        <v>3300602000</v>
      </c>
      <c r="F163" s="5" t="n">
        <f aca="false">IFERROR(VLOOKUP(E163,'Legacy Data'!$C$2:$D$1702,2,FALSE()),"No legacy match")</f>
        <v>54262531.29</v>
      </c>
      <c r="G163" s="5" t="n">
        <f aca="false">IFERROR(F163-D163,"N/A")</f>
        <v>0</v>
      </c>
      <c r="H163" s="1" t="str">
        <f aca="false">IF(ISNUMBER(G163),IF(G163=0,"Match","Variance"),"Check")</f>
        <v>Match</v>
      </c>
    </row>
    <row r="164" customFormat="false" ht="15.75" hidden="false" customHeight="true" outlineLevel="0" collapsed="false">
      <c r="B164" s="2" t="s">
        <v>76</v>
      </c>
      <c r="C164" s="2" t="s">
        <v>70</v>
      </c>
      <c r="D164" s="4" t="n">
        <v>2205.84</v>
      </c>
      <c r="E164" s="1" t="str">
        <f aca="false">B164&amp;C164</f>
        <v>3300602001</v>
      </c>
      <c r="F164" s="5" t="n">
        <f aca="false">IFERROR(VLOOKUP(E164,'Legacy Data'!$C$2:$D$1702,2,FALSE()),"No legacy match")</f>
        <v>2205.84</v>
      </c>
      <c r="G164" s="5" t="n">
        <f aca="false">IFERROR(F164-D164,"N/A")</f>
        <v>0</v>
      </c>
      <c r="H164" s="1" t="str">
        <f aca="false">IF(ISNUMBER(G164),IF(G164=0,"Match","Variance"),"Check")</f>
        <v>Match</v>
      </c>
    </row>
    <row r="165" customFormat="false" ht="15.75" hidden="false" customHeight="true" outlineLevel="0" collapsed="false">
      <c r="B165" s="2" t="s">
        <v>76</v>
      </c>
      <c r="C165" s="2" t="s">
        <v>41</v>
      </c>
      <c r="D165" s="4" t="n">
        <v>700661.7</v>
      </c>
      <c r="E165" s="1" t="str">
        <f aca="false">B165&amp;C165</f>
        <v>3300602002</v>
      </c>
      <c r="F165" s="5" t="n">
        <f aca="false">IFERROR(VLOOKUP(E165,'Legacy Data'!$C$2:$D$1702,2,FALSE()),"No legacy match")</f>
        <v>700661.7</v>
      </c>
      <c r="G165" s="5" t="n">
        <f aca="false">IFERROR(F165-D165,"N/A")</f>
        <v>0</v>
      </c>
      <c r="H165" s="1" t="str">
        <f aca="false">IF(ISNUMBER(G165),IF(G165=0,"Match","Variance"),"Check")</f>
        <v>Match</v>
      </c>
    </row>
    <row r="166" customFormat="false" ht="15.75" hidden="false" customHeight="true" outlineLevel="0" collapsed="false">
      <c r="B166" s="2" t="s">
        <v>76</v>
      </c>
      <c r="C166" s="2" t="s">
        <v>9</v>
      </c>
      <c r="D166" s="4" t="n">
        <v>84108.53</v>
      </c>
      <c r="E166" s="1" t="str">
        <f aca="false">B166&amp;C166</f>
        <v>3300602003</v>
      </c>
      <c r="F166" s="5" t="n">
        <f aca="false">IFERROR(VLOOKUP(E166,'Legacy Data'!$C$2:$D$1702,2,FALSE()),"No legacy match")</f>
        <v>84108.53</v>
      </c>
      <c r="G166" s="5" t="n">
        <f aca="false">IFERROR(F166-D166,"N/A")</f>
        <v>0</v>
      </c>
      <c r="H166" s="1" t="str">
        <f aca="false">IF(ISNUMBER(G166),IF(G166=0,"Match","Variance"),"Check")</f>
        <v>Match</v>
      </c>
    </row>
    <row r="167" customFormat="false" ht="15.75" hidden="false" customHeight="true" outlineLevel="0" collapsed="false">
      <c r="B167" s="2" t="s">
        <v>76</v>
      </c>
      <c r="C167" s="2" t="s">
        <v>10</v>
      </c>
      <c r="D167" s="4" t="n">
        <v>-5479.86</v>
      </c>
      <c r="E167" s="1" t="str">
        <f aca="false">B167&amp;C167</f>
        <v>3300602004</v>
      </c>
      <c r="F167" s="5" t="n">
        <f aca="false">IFERROR(VLOOKUP(E167,'Legacy Data'!$C$2:$D$1702,2,FALSE()),"No legacy match")</f>
        <v>-5479.86</v>
      </c>
      <c r="G167" s="5" t="n">
        <f aca="false">IFERROR(F167-D167,"N/A")</f>
        <v>0</v>
      </c>
      <c r="H167" s="1" t="str">
        <f aca="false">IF(ISNUMBER(G167),IF(G167=0,"Match","Variance"),"Check")</f>
        <v>Match</v>
      </c>
    </row>
    <row r="168" customFormat="false" ht="15.75" hidden="false" customHeight="true" outlineLevel="0" collapsed="false">
      <c r="B168" s="2" t="s">
        <v>76</v>
      </c>
      <c r="C168" s="2" t="s">
        <v>11</v>
      </c>
      <c r="D168" s="4" t="n">
        <v>92037.44</v>
      </c>
      <c r="E168" s="1" t="str">
        <f aca="false">B168&amp;C168</f>
        <v>3300602005</v>
      </c>
      <c r="F168" s="5" t="n">
        <f aca="false">IFERROR(VLOOKUP(E168,'Legacy Data'!$C$2:$D$1702,2,FALSE()),"No legacy match")</f>
        <v>92037.44</v>
      </c>
      <c r="G168" s="5" t="n">
        <f aca="false">IFERROR(F168-D168,"N/A")</f>
        <v>0</v>
      </c>
      <c r="H168" s="1" t="str">
        <f aca="false">IF(ISNUMBER(G168),IF(G168=0,"Match","Variance"),"Check")</f>
        <v>Match</v>
      </c>
    </row>
    <row r="169" customFormat="false" ht="15.75" hidden="false" customHeight="true" outlineLevel="0" collapsed="false">
      <c r="B169" s="2" t="s">
        <v>76</v>
      </c>
      <c r="C169" s="2" t="s">
        <v>12</v>
      </c>
      <c r="D169" s="4" t="n">
        <v>4690222.23</v>
      </c>
      <c r="E169" s="1" t="str">
        <f aca="false">B169&amp;C169</f>
        <v>3300602010</v>
      </c>
      <c r="F169" s="5" t="n">
        <f aca="false">IFERROR(VLOOKUP(E169,'Legacy Data'!$C$2:$D$1702,2,FALSE()),"No legacy match")</f>
        <v>4690222.23</v>
      </c>
      <c r="G169" s="5" t="n">
        <f aca="false">IFERROR(F169-D169,"N/A")</f>
        <v>0</v>
      </c>
      <c r="H169" s="1" t="str">
        <f aca="false">IF(ISNUMBER(G169),IF(G169=0,"Match","Variance"),"Check")</f>
        <v>Match</v>
      </c>
    </row>
    <row r="170" customFormat="false" ht="15.75" hidden="false" customHeight="true" outlineLevel="0" collapsed="false">
      <c r="B170" s="2" t="s">
        <v>76</v>
      </c>
      <c r="C170" s="2" t="s">
        <v>13</v>
      </c>
      <c r="D170" s="4" t="n">
        <v>742471.11</v>
      </c>
      <c r="E170" s="1" t="str">
        <f aca="false">B170&amp;C170</f>
        <v>3300602020</v>
      </c>
      <c r="F170" s="5" t="n">
        <f aca="false">IFERROR(VLOOKUP(E170,'Legacy Data'!$C$2:$D$1702,2,FALSE()),"No legacy match")</f>
        <v>742471.11</v>
      </c>
      <c r="G170" s="5" t="n">
        <f aca="false">IFERROR(F170-D170,"N/A")</f>
        <v>0</v>
      </c>
      <c r="H170" s="1" t="str">
        <f aca="false">IF(ISNUMBER(G170),IF(G170=0,"Match","Variance"),"Check")</f>
        <v>Match</v>
      </c>
    </row>
    <row r="171" customFormat="false" ht="15.75" hidden="false" customHeight="true" outlineLevel="0" collapsed="false">
      <c r="B171" s="2" t="s">
        <v>76</v>
      </c>
      <c r="C171" s="2" t="s">
        <v>14</v>
      </c>
      <c r="D171" s="4" t="n">
        <v>1084411.34</v>
      </c>
      <c r="E171" s="1" t="str">
        <f aca="false">B171&amp;C171</f>
        <v>3300602030</v>
      </c>
      <c r="F171" s="5" t="n">
        <f aca="false">IFERROR(VLOOKUP(E171,'Legacy Data'!$C$2:$D$1702,2,FALSE()),"No legacy match")</f>
        <v>1084411.34</v>
      </c>
      <c r="G171" s="5" t="n">
        <f aca="false">IFERROR(F171-D171,"N/A")</f>
        <v>0</v>
      </c>
      <c r="H171" s="1" t="str">
        <f aca="false">IF(ISNUMBER(G171),IF(G171=0,"Match","Variance"),"Check")</f>
        <v>Match</v>
      </c>
    </row>
    <row r="172" customFormat="false" ht="15.75" hidden="false" customHeight="true" outlineLevel="0" collapsed="false">
      <c r="B172" s="2" t="s">
        <v>76</v>
      </c>
      <c r="C172" s="2" t="s">
        <v>42</v>
      </c>
      <c r="D172" s="4" t="n">
        <v>22731774.33</v>
      </c>
      <c r="E172" s="1" t="str">
        <f aca="false">B172&amp;C172</f>
        <v>3300602040</v>
      </c>
      <c r="F172" s="5" t="n">
        <f aca="false">IFERROR(VLOOKUP(E172,'Legacy Data'!$C$2:$D$1702,2,FALSE()),"No legacy match")</f>
        <v>22731774.33</v>
      </c>
      <c r="G172" s="5" t="n">
        <f aca="false">IFERROR(F172-D172,"N/A")</f>
        <v>0</v>
      </c>
      <c r="H172" s="1" t="str">
        <f aca="false">IF(ISNUMBER(G172),IF(G172=0,"Match","Variance"),"Check")</f>
        <v>Match</v>
      </c>
    </row>
    <row r="173" customFormat="false" ht="15.75" hidden="false" customHeight="true" outlineLevel="0" collapsed="false">
      <c r="B173" s="2" t="s">
        <v>76</v>
      </c>
      <c r="C173" s="2" t="s">
        <v>43</v>
      </c>
      <c r="D173" s="4" t="n">
        <v>820985.91</v>
      </c>
      <c r="E173" s="1" t="str">
        <f aca="false">B173&amp;C173</f>
        <v>3300602050</v>
      </c>
      <c r="F173" s="5" t="n">
        <f aca="false">IFERROR(VLOOKUP(E173,'Legacy Data'!$C$2:$D$1702,2,FALSE()),"No legacy match")</f>
        <v>820985.91</v>
      </c>
      <c r="G173" s="5" t="n">
        <f aca="false">IFERROR(F173-D173,"N/A")</f>
        <v>0</v>
      </c>
      <c r="H173" s="1" t="str">
        <f aca="false">IF(ISNUMBER(G173),IF(G173=0,"Match","Variance"),"Check")</f>
        <v>Match</v>
      </c>
    </row>
    <row r="174" customFormat="false" ht="15.75" hidden="false" customHeight="true" outlineLevel="0" collapsed="false">
      <c r="B174" s="2" t="s">
        <v>76</v>
      </c>
      <c r="C174" s="2" t="s">
        <v>44</v>
      </c>
      <c r="D174" s="4" t="n">
        <v>-8063.73</v>
      </c>
      <c r="E174" s="1" t="str">
        <f aca="false">B174&amp;C174</f>
        <v>3300602060</v>
      </c>
      <c r="F174" s="5" t="n">
        <f aca="false">IFERROR(VLOOKUP(E174,'Legacy Data'!$C$2:$D$1702,2,FALSE()),"No legacy match")</f>
        <v>-8063.73</v>
      </c>
      <c r="G174" s="5" t="n">
        <f aca="false">IFERROR(F174-D174,"N/A")</f>
        <v>0</v>
      </c>
      <c r="H174" s="1" t="str">
        <f aca="false">IF(ISNUMBER(G174),IF(G174=0,"Match","Variance"),"Check")</f>
        <v>Match</v>
      </c>
    </row>
    <row r="175" customFormat="false" ht="15.75" hidden="false" customHeight="true" outlineLevel="0" collapsed="false">
      <c r="B175" s="2" t="s">
        <v>76</v>
      </c>
      <c r="C175" s="2" t="s">
        <v>15</v>
      </c>
      <c r="D175" s="4" t="n">
        <v>-29605336.54</v>
      </c>
      <c r="E175" s="1" t="str">
        <f aca="false">B175&amp;C175</f>
        <v>3300602070</v>
      </c>
      <c r="F175" s="5" t="n">
        <f aca="false">IFERROR(VLOOKUP(E175,'Legacy Data'!$C$2:$D$1702,2,FALSE()),"No legacy match")</f>
        <v>-29605336.54</v>
      </c>
      <c r="G175" s="5" t="n">
        <f aca="false">IFERROR(F175-D175,"N/A")</f>
        <v>0</v>
      </c>
      <c r="H175" s="1" t="str">
        <f aca="false">IF(ISNUMBER(G175),IF(G175=0,"Match","Variance"),"Check")</f>
        <v>Match</v>
      </c>
    </row>
    <row r="176" customFormat="false" ht="15.75" hidden="false" customHeight="true" outlineLevel="0" collapsed="false">
      <c r="B176" s="2" t="s">
        <v>76</v>
      </c>
      <c r="C176" s="2" t="s">
        <v>45</v>
      </c>
      <c r="D176" s="4" t="n">
        <v>31989.32</v>
      </c>
      <c r="E176" s="1" t="str">
        <f aca="false">B176&amp;C176</f>
        <v>3300602071</v>
      </c>
      <c r="F176" s="5" t="n">
        <f aca="false">IFERROR(VLOOKUP(E176,'Legacy Data'!$C$2:$D$1702,2,FALSE()),"No legacy match")</f>
        <v>31989.32</v>
      </c>
      <c r="G176" s="5" t="n">
        <f aca="false">IFERROR(F176-D176,"N/A")</f>
        <v>0</v>
      </c>
      <c r="H176" s="1" t="str">
        <f aca="false">IF(ISNUMBER(G176),IF(G176=0,"Match","Variance"),"Check")</f>
        <v>Match</v>
      </c>
    </row>
    <row r="177" customFormat="false" ht="15.75" hidden="false" customHeight="true" outlineLevel="0" collapsed="false">
      <c r="B177" s="2" t="s">
        <v>76</v>
      </c>
      <c r="C177" s="2" t="s">
        <v>16</v>
      </c>
      <c r="D177" s="4" t="n">
        <v>3344072.4</v>
      </c>
      <c r="E177" s="1" t="str">
        <f aca="false">B177&amp;C177</f>
        <v>3300602072</v>
      </c>
      <c r="F177" s="5" t="n">
        <f aca="false">IFERROR(VLOOKUP(E177,'Legacy Data'!$C$2:$D$1702,2,FALSE()),"No legacy match")</f>
        <v>3344072.4</v>
      </c>
      <c r="G177" s="5" t="n">
        <f aca="false">IFERROR(F177-D177,"N/A")</f>
        <v>0</v>
      </c>
      <c r="H177" s="1" t="str">
        <f aca="false">IF(ISNUMBER(G177),IF(G177=0,"Match","Variance"),"Check")</f>
        <v>Match</v>
      </c>
    </row>
    <row r="178" customFormat="false" ht="15.75" hidden="false" customHeight="true" outlineLevel="0" collapsed="false">
      <c r="B178" s="2" t="s">
        <v>76</v>
      </c>
      <c r="C178" s="2" t="s">
        <v>46</v>
      </c>
      <c r="D178" s="4" t="n">
        <v>-2772.75</v>
      </c>
      <c r="E178" s="1" t="str">
        <f aca="false">B178&amp;C178</f>
        <v>3300602073</v>
      </c>
      <c r="F178" s="5" t="n">
        <f aca="false">IFERROR(VLOOKUP(E178,'Legacy Data'!$C$2:$D$1702,2,FALSE()),"No legacy match")</f>
        <v>-2772.75</v>
      </c>
      <c r="G178" s="5" t="n">
        <f aca="false">IFERROR(F178-D178,"N/A")</f>
        <v>0</v>
      </c>
      <c r="H178" s="1" t="str">
        <f aca="false">IF(ISNUMBER(G178),IF(G178=0,"Match","Variance"),"Check")</f>
        <v>Match</v>
      </c>
    </row>
    <row r="179" customFormat="false" ht="15.75" hidden="false" customHeight="true" outlineLevel="0" collapsed="false">
      <c r="B179" s="2" t="s">
        <v>76</v>
      </c>
      <c r="C179" s="2" t="s">
        <v>47</v>
      </c>
      <c r="D179" s="4" t="n">
        <v>182457.6</v>
      </c>
      <c r="E179" s="1" t="str">
        <f aca="false">B179&amp;C179</f>
        <v>3300602074</v>
      </c>
      <c r="F179" s="5" t="n">
        <f aca="false">IFERROR(VLOOKUP(E179,'Legacy Data'!$C$2:$D$1702,2,FALSE()),"No legacy match")</f>
        <v>182457.6</v>
      </c>
      <c r="G179" s="5" t="n">
        <f aca="false">IFERROR(F179-D179,"N/A")</f>
        <v>0</v>
      </c>
      <c r="H179" s="1" t="str">
        <f aca="false">IF(ISNUMBER(G179),IF(G179=0,"Match","Variance"),"Check")</f>
        <v>Match</v>
      </c>
    </row>
    <row r="180" customFormat="false" ht="15.75" hidden="false" customHeight="true" outlineLevel="0" collapsed="false">
      <c r="B180" s="2" t="s">
        <v>76</v>
      </c>
      <c r="C180" s="2" t="s">
        <v>48</v>
      </c>
      <c r="D180" s="4" t="n">
        <v>25310570.04</v>
      </c>
      <c r="E180" s="1" t="str">
        <f aca="false">B180&amp;C180</f>
        <v>3300602080</v>
      </c>
      <c r="F180" s="5" t="n">
        <f aca="false">IFERROR(VLOOKUP(E180,'Legacy Data'!$C$2:$D$1702,2,FALSE()),"No legacy match")</f>
        <v>25310570.04</v>
      </c>
      <c r="G180" s="5" t="n">
        <f aca="false">IFERROR(F180-D180,"N/A")</f>
        <v>0</v>
      </c>
      <c r="H180" s="1" t="str">
        <f aca="false">IF(ISNUMBER(G180),IF(G180=0,"Match","Variance"),"Check")</f>
        <v>Match</v>
      </c>
    </row>
    <row r="181" customFormat="false" ht="15.75" hidden="false" customHeight="true" outlineLevel="0" collapsed="false">
      <c r="B181" s="2" t="s">
        <v>76</v>
      </c>
      <c r="C181" s="2" t="s">
        <v>17</v>
      </c>
      <c r="D181" s="4" t="n">
        <v>5278393.57</v>
      </c>
      <c r="E181" s="1" t="str">
        <f aca="false">B181&amp;C181</f>
        <v>3300603000</v>
      </c>
      <c r="F181" s="5" t="n">
        <f aca="false">IFERROR(VLOOKUP(E181,'Legacy Data'!$C$2:$D$1702,2,FALSE()),"No legacy match")</f>
        <v>5278393.57</v>
      </c>
      <c r="G181" s="5" t="n">
        <f aca="false">IFERROR(F181-D181,"N/A")</f>
        <v>0</v>
      </c>
      <c r="H181" s="1" t="str">
        <f aca="false">IF(ISNUMBER(G181),IF(G181=0,"Match","Variance"),"Check")</f>
        <v>Match</v>
      </c>
    </row>
    <row r="182" customFormat="false" ht="15.75" hidden="false" customHeight="true" outlineLevel="0" collapsed="false">
      <c r="B182" s="2" t="s">
        <v>76</v>
      </c>
      <c r="C182" s="2" t="s">
        <v>71</v>
      </c>
      <c r="D182" s="4" t="n">
        <v>59957.69</v>
      </c>
      <c r="E182" s="1" t="str">
        <f aca="false">B182&amp;C182</f>
        <v>3300603001</v>
      </c>
      <c r="F182" s="5" t="n">
        <f aca="false">IFERROR(VLOOKUP(E182,'Legacy Data'!$C$2:$D$1702,2,FALSE()),"No legacy match")</f>
        <v>59957.69</v>
      </c>
      <c r="G182" s="5" t="n">
        <f aca="false">IFERROR(F182-D182,"N/A")</f>
        <v>0</v>
      </c>
      <c r="H182" s="1" t="str">
        <f aca="false">IF(ISNUMBER(G182),IF(G182=0,"Match","Variance"),"Check")</f>
        <v>Match</v>
      </c>
    </row>
    <row r="183" customFormat="false" ht="15.75" hidden="false" customHeight="true" outlineLevel="0" collapsed="false">
      <c r="B183" s="2" t="s">
        <v>76</v>
      </c>
      <c r="C183" s="2" t="s">
        <v>18</v>
      </c>
      <c r="D183" s="4" t="n">
        <v>0</v>
      </c>
      <c r="E183" s="1" t="str">
        <f aca="false">B183&amp;C183</f>
        <v>3300910003</v>
      </c>
      <c r="F183" s="5" t="n">
        <f aca="false">IFERROR(VLOOKUP(E183,'Legacy Data'!$C$2:$D$1702,2,FALSE()),"No legacy match")</f>
        <v>0</v>
      </c>
      <c r="G183" s="5" t="n">
        <f aca="false">IFERROR(F183-D183,"N/A")</f>
        <v>0</v>
      </c>
      <c r="H183" s="1" t="str">
        <f aca="false">IF(ISNUMBER(G183),IF(G183=0,"Match","Variance"),"Check")</f>
        <v>Match</v>
      </c>
    </row>
    <row r="184" customFormat="false" ht="15.75" hidden="false" customHeight="true" outlineLevel="0" collapsed="false">
      <c r="B184" s="2" t="s">
        <v>76</v>
      </c>
      <c r="C184" s="2" t="s">
        <v>78</v>
      </c>
      <c r="D184" s="4" t="n">
        <v>942170.16</v>
      </c>
      <c r="E184" s="1" t="str">
        <f aca="false">B184&amp;C184</f>
        <v>3300604000</v>
      </c>
      <c r="F184" s="5" t="n">
        <f aca="false">IFERROR(VLOOKUP(E184,'Legacy Data'!$C$2:$D$1702,2,FALSE()),"No legacy match")</f>
        <v>942170.16</v>
      </c>
      <c r="G184" s="5" t="n">
        <f aca="false">IFERROR(F184-D184,"N/A")</f>
        <v>0</v>
      </c>
      <c r="H184" s="1" t="str">
        <f aca="false">IF(ISNUMBER(G184),IF(G184=0,"Match","Variance"),"Check")</f>
        <v>Match</v>
      </c>
    </row>
    <row r="185" customFormat="false" ht="15.75" hidden="false" customHeight="true" outlineLevel="0" collapsed="false">
      <c r="B185" s="2" t="s">
        <v>76</v>
      </c>
      <c r="C185" s="2" t="s">
        <v>19</v>
      </c>
      <c r="D185" s="4" t="n">
        <v>8333444.84</v>
      </c>
      <c r="E185" s="1" t="str">
        <f aca="false">B185&amp;C185</f>
        <v>3300604040</v>
      </c>
      <c r="F185" s="5" t="n">
        <f aca="false">IFERROR(VLOOKUP(E185,'Legacy Data'!$C$2:$D$1702,2,FALSE()),"No legacy match")</f>
        <v>8333444.84</v>
      </c>
      <c r="G185" s="5" t="n">
        <f aca="false">IFERROR(F185-D185,"N/A")</f>
        <v>0</v>
      </c>
      <c r="H185" s="1" t="str">
        <f aca="false">IF(ISNUMBER(G185),IF(G185=0,"Match","Variance"),"Check")</f>
        <v>Match</v>
      </c>
    </row>
    <row r="186" customFormat="false" ht="15.75" hidden="false" customHeight="true" outlineLevel="0" collapsed="false">
      <c r="B186" s="2" t="s">
        <v>76</v>
      </c>
      <c r="C186" s="2" t="s">
        <v>50</v>
      </c>
      <c r="D186" s="4" t="n">
        <v>335685.88</v>
      </c>
      <c r="E186" s="1" t="str">
        <f aca="false">B186&amp;C186</f>
        <v>3300604060</v>
      </c>
      <c r="F186" s="5" t="n">
        <f aca="false">IFERROR(VLOOKUP(E186,'Legacy Data'!$C$2:$D$1702,2,FALSE()),"No legacy match")</f>
        <v>335685.88</v>
      </c>
      <c r="G186" s="5" t="n">
        <f aca="false">IFERROR(F186-D186,"N/A")</f>
        <v>0</v>
      </c>
      <c r="H186" s="1" t="str">
        <f aca="false">IF(ISNUMBER(G186),IF(G186=0,"Match","Variance"),"Check")</f>
        <v>Match</v>
      </c>
    </row>
    <row r="187" customFormat="false" ht="15.75" hidden="false" customHeight="true" outlineLevel="0" collapsed="false">
      <c r="B187" s="2" t="s">
        <v>76</v>
      </c>
      <c r="C187" s="2" t="s">
        <v>20</v>
      </c>
      <c r="D187" s="4" t="n">
        <v>0</v>
      </c>
      <c r="E187" s="1" t="str">
        <f aca="false">B187&amp;C187</f>
        <v>3300910001</v>
      </c>
      <c r="F187" s="5" t="n">
        <f aca="false">IFERROR(VLOOKUP(E187,'Legacy Data'!$C$2:$D$1702,2,FALSE()),"No legacy match")</f>
        <v>0</v>
      </c>
      <c r="G187" s="5" t="n">
        <f aca="false">IFERROR(F187-D187,"N/A")</f>
        <v>0</v>
      </c>
      <c r="H187" s="1" t="str">
        <f aca="false">IF(ISNUMBER(G187),IF(G187=0,"Match","Variance"),"Check")</f>
        <v>Match</v>
      </c>
    </row>
    <row r="188" customFormat="false" ht="15.75" hidden="false" customHeight="true" outlineLevel="0" collapsed="false">
      <c r="B188" s="2" t="s">
        <v>76</v>
      </c>
      <c r="C188" s="2" t="s">
        <v>21</v>
      </c>
      <c r="D188" s="4" t="n">
        <v>7823184.81</v>
      </c>
      <c r="E188" s="1" t="str">
        <f aca="false">B188&amp;C188</f>
        <v>3300604020</v>
      </c>
      <c r="F188" s="5" t="n">
        <f aca="false">IFERROR(VLOOKUP(E188,'Legacy Data'!$C$2:$D$1702,2,FALSE()),"No legacy match")</f>
        <v>7823184.81</v>
      </c>
      <c r="G188" s="5" t="n">
        <f aca="false">IFERROR(F188-D188,"N/A")</f>
        <v>0</v>
      </c>
      <c r="H188" s="1" t="str">
        <f aca="false">IF(ISNUMBER(G188),IF(G188=0,"Match","Variance"),"Check")</f>
        <v>Match</v>
      </c>
    </row>
    <row r="189" customFormat="false" ht="15.75" hidden="false" customHeight="true" outlineLevel="0" collapsed="false">
      <c r="B189" s="2" t="s">
        <v>76</v>
      </c>
      <c r="C189" s="2" t="s">
        <v>22</v>
      </c>
      <c r="D189" s="4" t="n">
        <v>7381427.34</v>
      </c>
      <c r="E189" s="1" t="str">
        <f aca="false">B189&amp;C189</f>
        <v>3300604010</v>
      </c>
      <c r="F189" s="5" t="n">
        <f aca="false">IFERROR(VLOOKUP(E189,'Legacy Data'!$C$2:$D$1702,2,FALSE()),"No legacy match")</f>
        <v>7381427.34</v>
      </c>
      <c r="G189" s="5" t="n">
        <f aca="false">IFERROR(F189-D189,"N/A")</f>
        <v>0</v>
      </c>
      <c r="H189" s="1" t="str">
        <f aca="false">IF(ISNUMBER(G189),IF(G189=0,"Match","Variance"),"Check")</f>
        <v>Match</v>
      </c>
    </row>
    <row r="190" customFormat="false" ht="15.75" hidden="false" customHeight="true" outlineLevel="0" collapsed="false">
      <c r="B190" s="2" t="s">
        <v>76</v>
      </c>
      <c r="C190" s="2" t="s">
        <v>51</v>
      </c>
      <c r="D190" s="4" t="n">
        <v>251441.07</v>
      </c>
      <c r="E190" s="1" t="str">
        <f aca="false">B190&amp;C190</f>
        <v>3300605000</v>
      </c>
      <c r="F190" s="5" t="n">
        <f aca="false">IFERROR(VLOOKUP(E190,'Legacy Data'!$C$2:$D$1702,2,FALSE()),"No legacy match")</f>
        <v>251441.07</v>
      </c>
      <c r="G190" s="5" t="n">
        <f aca="false">IFERROR(F190-D190,"N/A")</f>
        <v>0</v>
      </c>
      <c r="H190" s="1" t="str">
        <f aca="false">IF(ISNUMBER(G190),IF(G190=0,"Match","Variance"),"Check")</f>
        <v>Match</v>
      </c>
    </row>
    <row r="191" customFormat="false" ht="15.75" hidden="false" customHeight="true" outlineLevel="0" collapsed="false">
      <c r="B191" s="2" t="s">
        <v>76</v>
      </c>
      <c r="C191" s="2" t="s">
        <v>53</v>
      </c>
      <c r="D191" s="4" t="n">
        <v>1604141.72</v>
      </c>
      <c r="E191" s="1" t="str">
        <f aca="false">B191&amp;C191</f>
        <v>3300605020</v>
      </c>
      <c r="F191" s="5" t="n">
        <f aca="false">IFERROR(VLOOKUP(E191,'Legacy Data'!$C$2:$D$1702,2,FALSE()),"No legacy match")</f>
        <v>1604141.72</v>
      </c>
      <c r="G191" s="5" t="n">
        <f aca="false">IFERROR(F191-D191,"N/A")</f>
        <v>0</v>
      </c>
      <c r="H191" s="1" t="str">
        <f aca="false">IF(ISNUMBER(G191),IF(G191=0,"Match","Variance"),"Check")</f>
        <v>Match</v>
      </c>
    </row>
    <row r="192" customFormat="false" ht="15.75" hidden="false" customHeight="true" outlineLevel="0" collapsed="false">
      <c r="B192" s="2" t="s">
        <v>76</v>
      </c>
      <c r="C192" s="2" t="s">
        <v>54</v>
      </c>
      <c r="D192" s="4" t="n">
        <v>31057.45</v>
      </c>
      <c r="E192" s="1" t="str">
        <f aca="false">B192&amp;C192</f>
        <v>3300606000</v>
      </c>
      <c r="F192" s="5" t="n">
        <f aca="false">IFERROR(VLOOKUP(E192,'Legacy Data'!$C$2:$D$1702,2,FALSE()),"No legacy match")</f>
        <v>31057.45</v>
      </c>
      <c r="G192" s="5" t="n">
        <f aca="false">IFERROR(F192-D192,"N/A")</f>
        <v>0</v>
      </c>
      <c r="H192" s="1" t="str">
        <f aca="false">IF(ISNUMBER(G192),IF(G192=0,"Match","Variance"),"Check")</f>
        <v>Match</v>
      </c>
    </row>
    <row r="193" customFormat="false" ht="15.75" hidden="false" customHeight="true" outlineLevel="0" collapsed="false">
      <c r="B193" s="2" t="s">
        <v>76</v>
      </c>
      <c r="C193" s="2" t="s">
        <v>55</v>
      </c>
      <c r="D193" s="4" t="n">
        <v>30063.5</v>
      </c>
      <c r="E193" s="1" t="str">
        <f aca="false">B193&amp;C193</f>
        <v>3300606010</v>
      </c>
      <c r="F193" s="5" t="n">
        <f aca="false">IFERROR(VLOOKUP(E193,'Legacy Data'!$C$2:$D$1702,2,FALSE()),"No legacy match")</f>
        <v>30063.5</v>
      </c>
      <c r="G193" s="5" t="n">
        <f aca="false">IFERROR(F193-D193,"N/A")</f>
        <v>0</v>
      </c>
      <c r="H193" s="1" t="str">
        <f aca="false">IF(ISNUMBER(G193),IF(G193=0,"Match","Variance"),"Check")</f>
        <v>Match</v>
      </c>
    </row>
    <row r="194" customFormat="false" ht="15.75" hidden="false" customHeight="true" outlineLevel="0" collapsed="false">
      <c r="B194" s="2" t="s">
        <v>76</v>
      </c>
      <c r="C194" s="2" t="s">
        <v>59</v>
      </c>
      <c r="D194" s="4" t="n">
        <v>13387909.38</v>
      </c>
      <c r="E194" s="1" t="str">
        <f aca="false">B194&amp;C194</f>
        <v>3300608010</v>
      </c>
      <c r="F194" s="5" t="n">
        <f aca="false">IFERROR(VLOOKUP(E194,'Legacy Data'!$C$2:$D$1702,2,FALSE()),"No legacy match")</f>
        <v>13387909.38</v>
      </c>
      <c r="G194" s="5" t="n">
        <f aca="false">IFERROR(F194-D194,"N/A")</f>
        <v>0</v>
      </c>
      <c r="H194" s="1" t="str">
        <f aca="false">IF(ISNUMBER(G194),IF(G194=0,"Match","Variance"),"Check")</f>
        <v>Match</v>
      </c>
    </row>
    <row r="195" customFormat="false" ht="15.75" hidden="false" customHeight="true" outlineLevel="0" collapsed="false">
      <c r="B195" s="2" t="s">
        <v>76</v>
      </c>
      <c r="C195" s="2" t="s">
        <v>23</v>
      </c>
      <c r="D195" s="4" t="n">
        <v>30961701.88</v>
      </c>
      <c r="E195" s="1" t="str">
        <f aca="false">B195&amp;C195</f>
        <v>3300608020</v>
      </c>
      <c r="F195" s="5" t="n">
        <f aca="false">IFERROR(VLOOKUP(E195,'Legacy Data'!$C$2:$D$1702,2,FALSE()),"No legacy match")</f>
        <v>30961701.88</v>
      </c>
      <c r="G195" s="5" t="n">
        <f aca="false">IFERROR(F195-D195,"N/A")</f>
        <v>0</v>
      </c>
      <c r="H195" s="1" t="str">
        <f aca="false">IF(ISNUMBER(G195),IF(G195=0,"Match","Variance"),"Check")</f>
        <v>Match</v>
      </c>
    </row>
    <row r="196" customFormat="false" ht="15.75" hidden="false" customHeight="true" outlineLevel="0" collapsed="false">
      <c r="B196" s="2" t="s">
        <v>76</v>
      </c>
      <c r="C196" s="2" t="s">
        <v>79</v>
      </c>
      <c r="D196" s="4" t="n">
        <v>1951126.68</v>
      </c>
      <c r="E196" s="1" t="str">
        <f aca="false">B196&amp;C196</f>
        <v>3300608030</v>
      </c>
      <c r="F196" s="5" t="n">
        <f aca="false">IFERROR(VLOOKUP(E196,'Legacy Data'!$C$2:$D$1702,2,FALSE()),"No legacy match")</f>
        <v>1951126.68</v>
      </c>
      <c r="G196" s="5" t="n">
        <f aca="false">IFERROR(F196-D196,"N/A")</f>
        <v>0</v>
      </c>
      <c r="H196" s="1" t="str">
        <f aca="false">IF(ISNUMBER(G196),IF(G196=0,"Match","Variance"),"Check")</f>
        <v>Match</v>
      </c>
    </row>
    <row r="197" customFormat="false" ht="15.75" hidden="false" customHeight="true" outlineLevel="0" collapsed="false">
      <c r="B197" s="2" t="s">
        <v>76</v>
      </c>
      <c r="C197" s="2" t="s">
        <v>60</v>
      </c>
      <c r="D197" s="4" t="n">
        <v>7265001.84</v>
      </c>
      <c r="E197" s="1" t="str">
        <f aca="false">B197&amp;C197</f>
        <v>3300608040</v>
      </c>
      <c r="F197" s="5" t="n">
        <f aca="false">IFERROR(VLOOKUP(E197,'Legacy Data'!$C$2:$D$1702,2,FALSE()),"No legacy match")</f>
        <v>7265001.84</v>
      </c>
      <c r="G197" s="5" t="n">
        <f aca="false">IFERROR(F197-D197,"N/A")</f>
        <v>0</v>
      </c>
      <c r="H197" s="1" t="str">
        <f aca="false">IF(ISNUMBER(G197),IF(G197=0,"Match","Variance"),"Check")</f>
        <v>Match</v>
      </c>
    </row>
    <row r="198" customFormat="false" ht="15.75" hidden="false" customHeight="true" outlineLevel="0" collapsed="false">
      <c r="B198" s="2" t="s">
        <v>76</v>
      </c>
      <c r="C198" s="2" t="s">
        <v>61</v>
      </c>
      <c r="D198" s="4" t="n">
        <v>8349605.07</v>
      </c>
      <c r="E198" s="1" t="str">
        <f aca="false">B198&amp;C198</f>
        <v>3300608000</v>
      </c>
      <c r="F198" s="5" t="n">
        <f aca="false">IFERROR(VLOOKUP(E198,'Legacy Data'!$C$2:$D$1702,2,FALSE()),"No legacy match")</f>
        <v>8349605.07</v>
      </c>
      <c r="G198" s="5" t="n">
        <f aca="false">IFERROR(F198-D198,"N/A")</f>
        <v>0</v>
      </c>
      <c r="H198" s="1" t="str">
        <f aca="false">IF(ISNUMBER(G198),IF(G198=0,"Match","Variance"),"Check")</f>
        <v>Match</v>
      </c>
    </row>
    <row r="199" customFormat="false" ht="15.75" hidden="false" customHeight="true" outlineLevel="0" collapsed="false">
      <c r="B199" s="2" t="s">
        <v>76</v>
      </c>
      <c r="C199" s="2" t="s">
        <v>24</v>
      </c>
      <c r="D199" s="4" t="n">
        <v>1198267.2</v>
      </c>
      <c r="E199" s="1" t="str">
        <f aca="false">B199&amp;C199</f>
        <v>3300609004</v>
      </c>
      <c r="F199" s="5" t="n">
        <f aca="false">IFERROR(VLOOKUP(E199,'Legacy Data'!$C$2:$D$1702,2,FALSE()),"No legacy match")</f>
        <v>1198267.2</v>
      </c>
      <c r="G199" s="5" t="n">
        <f aca="false">IFERROR(F199-D199,"N/A")</f>
        <v>0</v>
      </c>
      <c r="H199" s="1" t="str">
        <f aca="false">IF(ISNUMBER(G199),IF(G199=0,"Match","Variance"),"Check")</f>
        <v>Match</v>
      </c>
    </row>
    <row r="200" customFormat="false" ht="15.75" hidden="false" customHeight="true" outlineLevel="0" collapsed="false">
      <c r="B200" s="2" t="s">
        <v>76</v>
      </c>
      <c r="C200" s="2" t="s">
        <v>37</v>
      </c>
      <c r="D200" s="4" t="n">
        <v>164730.19</v>
      </c>
      <c r="E200" s="1" t="str">
        <f aca="false">B200&amp;C200</f>
        <v>3300609008</v>
      </c>
      <c r="F200" s="5" t="n">
        <f aca="false">IFERROR(VLOOKUP(E200,'Legacy Data'!$C$2:$D$1702,2,FALSE()),"No legacy match")</f>
        <v>164730.19</v>
      </c>
      <c r="G200" s="5" t="n">
        <f aca="false">IFERROR(F200-D200,"N/A")</f>
        <v>0</v>
      </c>
      <c r="H200" s="1" t="str">
        <f aca="false">IF(ISNUMBER(G200),IF(G200=0,"Match","Variance"),"Check")</f>
        <v>Match</v>
      </c>
    </row>
    <row r="201" customFormat="false" ht="15.75" hidden="false" customHeight="true" outlineLevel="0" collapsed="false">
      <c r="B201" s="2" t="s">
        <v>76</v>
      </c>
      <c r="C201" s="2" t="s">
        <v>25</v>
      </c>
      <c r="D201" s="4" t="n">
        <v>352106.77</v>
      </c>
      <c r="E201" s="1" t="str">
        <f aca="false">B201&amp;C201</f>
        <v>3300609005</v>
      </c>
      <c r="F201" s="5" t="n">
        <f aca="false">IFERROR(VLOOKUP(E201,'Legacy Data'!$C$2:$D$1702,2,FALSE()),"No legacy match")</f>
        <v>352106.77</v>
      </c>
      <c r="G201" s="5" t="n">
        <f aca="false">IFERROR(F201-D201,"N/A")</f>
        <v>0</v>
      </c>
      <c r="H201" s="1" t="str">
        <f aca="false">IF(ISNUMBER(G201),IF(G201=0,"Match","Variance"),"Check")</f>
        <v>Match</v>
      </c>
    </row>
    <row r="202" customFormat="false" ht="15.75" hidden="false" customHeight="true" outlineLevel="0" collapsed="false">
      <c r="B202" s="2" t="s">
        <v>76</v>
      </c>
      <c r="C202" s="2" t="s">
        <v>26</v>
      </c>
      <c r="D202" s="4" t="n">
        <v>10209.58</v>
      </c>
      <c r="E202" s="1" t="str">
        <f aca="false">B202&amp;C202</f>
        <v>3300609006</v>
      </c>
      <c r="F202" s="5" t="n">
        <f aca="false">IFERROR(VLOOKUP(E202,'Legacy Data'!$C$2:$D$1702,2,FALSE()),"No legacy match")</f>
        <v>10209.58</v>
      </c>
      <c r="G202" s="5" t="n">
        <f aca="false">IFERROR(F202-D202,"N/A")</f>
        <v>0</v>
      </c>
      <c r="H202" s="1" t="str">
        <f aca="false">IF(ISNUMBER(G202),IF(G202=0,"Match","Variance"),"Check")</f>
        <v>Match</v>
      </c>
    </row>
    <row r="203" customFormat="false" ht="15.75" hidden="false" customHeight="true" outlineLevel="0" collapsed="false">
      <c r="B203" s="2" t="s">
        <v>76</v>
      </c>
      <c r="C203" s="2" t="s">
        <v>80</v>
      </c>
      <c r="D203" s="4" t="n">
        <v>984221.93</v>
      </c>
      <c r="E203" s="1" t="str">
        <f aca="false">B203&amp;C203</f>
        <v>3300609007</v>
      </c>
      <c r="F203" s="5" t="n">
        <f aca="false">IFERROR(VLOOKUP(E203,'Legacy Data'!$C$2:$D$1702,2,FALSE()),"No legacy match")</f>
        <v>984221.93</v>
      </c>
      <c r="G203" s="5" t="n">
        <f aca="false">IFERROR(F203-D203,"N/A")</f>
        <v>0</v>
      </c>
      <c r="H203" s="1" t="str">
        <f aca="false">IF(ISNUMBER(G203),IF(G203=0,"Match","Variance"),"Check")</f>
        <v>Match</v>
      </c>
    </row>
    <row r="204" customFormat="false" ht="15.75" hidden="false" customHeight="true" outlineLevel="0" collapsed="false">
      <c r="B204" s="2" t="s">
        <v>76</v>
      </c>
      <c r="C204" s="2" t="s">
        <v>81</v>
      </c>
      <c r="D204" s="4" t="n">
        <v>1998</v>
      </c>
      <c r="E204" s="1" t="str">
        <f aca="false">B204&amp;C204</f>
        <v>3300609011</v>
      </c>
      <c r="F204" s="5" t="n">
        <f aca="false">IFERROR(VLOOKUP(E204,'Legacy Data'!$C$2:$D$1702,2,FALSE()),"No legacy match")</f>
        <v>1998</v>
      </c>
      <c r="G204" s="5" t="n">
        <f aca="false">IFERROR(F204-D204,"N/A")</f>
        <v>0</v>
      </c>
      <c r="H204" s="1" t="str">
        <f aca="false">IF(ISNUMBER(G204),IF(G204=0,"Match","Variance"),"Check")</f>
        <v>Match</v>
      </c>
    </row>
    <row r="205" customFormat="false" ht="15.75" hidden="false" customHeight="true" outlineLevel="0" collapsed="false">
      <c r="B205" s="2" t="s">
        <v>76</v>
      </c>
      <c r="C205" s="2" t="s">
        <v>63</v>
      </c>
      <c r="D205" s="4" t="n">
        <v>738246.1</v>
      </c>
      <c r="E205" s="1" t="str">
        <f aca="false">B205&amp;C205</f>
        <v>3300609000</v>
      </c>
      <c r="F205" s="5" t="n">
        <f aca="false">IFERROR(VLOOKUP(E205,'Legacy Data'!$C$2:$D$1702,2,FALSE()),"No legacy match")</f>
        <v>738246.1</v>
      </c>
      <c r="G205" s="5" t="n">
        <f aca="false">IFERROR(F205-D205,"N/A")</f>
        <v>0</v>
      </c>
      <c r="H205" s="1" t="str">
        <f aca="false">IF(ISNUMBER(G205),IF(G205=0,"Match","Variance"),"Check")</f>
        <v>Match</v>
      </c>
    </row>
    <row r="206" customFormat="false" ht="15.75" hidden="false" customHeight="true" outlineLevel="0" collapsed="false">
      <c r="B206" s="2" t="s">
        <v>76</v>
      </c>
      <c r="C206" s="2" t="s">
        <v>72</v>
      </c>
      <c r="D206" s="4" t="n">
        <v>90932.66</v>
      </c>
      <c r="E206" s="1" t="str">
        <f aca="false">B206&amp;C206</f>
        <v>3300609001</v>
      </c>
      <c r="F206" s="5" t="n">
        <f aca="false">IFERROR(VLOOKUP(E206,'Legacy Data'!$C$2:$D$1702,2,FALSE()),"No legacy match")</f>
        <v>90932.66</v>
      </c>
      <c r="G206" s="5" t="n">
        <f aca="false">IFERROR(F206-D206,"N/A")</f>
        <v>0</v>
      </c>
      <c r="H206" s="1" t="str">
        <f aca="false">IF(ISNUMBER(G206),IF(G206=0,"Match","Variance"),"Check")</f>
        <v>Match</v>
      </c>
    </row>
    <row r="207" customFormat="false" ht="15.75" hidden="false" customHeight="true" outlineLevel="0" collapsed="false">
      <c r="B207" s="2" t="s">
        <v>76</v>
      </c>
      <c r="C207" s="2" t="s">
        <v>27</v>
      </c>
      <c r="D207" s="4" t="n">
        <v>1309643.71</v>
      </c>
      <c r="E207" s="1" t="str">
        <f aca="false">B207&amp;C207</f>
        <v>3300609002</v>
      </c>
      <c r="F207" s="5" t="n">
        <f aca="false">IFERROR(VLOOKUP(E207,'Legacy Data'!$C$2:$D$1702,2,FALSE()),"No legacy match")</f>
        <v>1309643.71</v>
      </c>
      <c r="G207" s="5" t="n">
        <f aca="false">IFERROR(F207-D207,"N/A")</f>
        <v>0</v>
      </c>
      <c r="H207" s="1" t="str">
        <f aca="false">IF(ISNUMBER(G207),IF(G207=0,"Match","Variance"),"Check")</f>
        <v>Match</v>
      </c>
    </row>
    <row r="208" customFormat="false" ht="15.75" hidden="false" customHeight="true" outlineLevel="0" collapsed="false">
      <c r="B208" s="2" t="s">
        <v>76</v>
      </c>
      <c r="C208" s="2" t="s">
        <v>28</v>
      </c>
      <c r="D208" s="4" t="n">
        <v>1271800.12</v>
      </c>
      <c r="E208" s="1" t="str">
        <f aca="false">B208&amp;C208</f>
        <v>3300609003</v>
      </c>
      <c r="F208" s="5" t="n">
        <f aca="false">IFERROR(VLOOKUP(E208,'Legacy Data'!$C$2:$D$1702,2,FALSE()),"No legacy match")</f>
        <v>1271800.12</v>
      </c>
      <c r="G208" s="5" t="n">
        <f aca="false">IFERROR(F208-D208,"N/A")</f>
        <v>0</v>
      </c>
      <c r="H208" s="1" t="str">
        <f aca="false">IF(ISNUMBER(G208),IF(G208=0,"Match","Variance"),"Check")</f>
        <v>Match</v>
      </c>
    </row>
    <row r="209" customFormat="false" ht="15.75" hidden="false" customHeight="true" outlineLevel="0" collapsed="false">
      <c r="B209" s="2" t="s">
        <v>76</v>
      </c>
      <c r="C209" s="2" t="s">
        <v>29</v>
      </c>
      <c r="D209" s="4" t="n">
        <v>326175.07</v>
      </c>
      <c r="E209" s="1" t="str">
        <f aca="false">B209&amp;C209</f>
        <v>3300609009</v>
      </c>
      <c r="F209" s="5" t="n">
        <f aca="false">IFERROR(VLOOKUP(E209,'Legacy Data'!$C$2:$D$1702,2,FALSE()),"No legacy match")</f>
        <v>326175.07</v>
      </c>
      <c r="G209" s="5" t="n">
        <f aca="false">IFERROR(F209-D209,"N/A")</f>
        <v>0</v>
      </c>
      <c r="H209" s="1" t="str">
        <f aca="false">IF(ISNUMBER(G209),IF(G209=0,"Match","Variance"),"Check")</f>
        <v>Match</v>
      </c>
    </row>
    <row r="210" customFormat="false" ht="15.75" hidden="false" customHeight="true" outlineLevel="0" collapsed="false">
      <c r="B210" s="2" t="s">
        <v>76</v>
      </c>
      <c r="C210" s="2" t="s">
        <v>30</v>
      </c>
      <c r="D210" s="4" t="n">
        <v>365110.86</v>
      </c>
      <c r="E210" s="1" t="str">
        <f aca="false">B210&amp;C210</f>
        <v>3300609010</v>
      </c>
      <c r="F210" s="5" t="n">
        <f aca="false">IFERROR(VLOOKUP(E210,'Legacy Data'!$C$2:$D$1702,2,FALSE()),"No legacy match")</f>
        <v>365110.86</v>
      </c>
      <c r="G210" s="5" t="n">
        <f aca="false">IFERROR(F210-D210,"N/A")</f>
        <v>0</v>
      </c>
      <c r="H210" s="1" t="str">
        <f aca="false">IF(ISNUMBER(G210),IF(G210=0,"Match","Variance"),"Check")</f>
        <v>Match</v>
      </c>
    </row>
    <row r="211" customFormat="false" ht="15.75" hidden="false" customHeight="true" outlineLevel="0" collapsed="false">
      <c r="B211" s="2" t="s">
        <v>76</v>
      </c>
      <c r="C211" s="2" t="s">
        <v>39</v>
      </c>
      <c r="D211" s="4" t="n">
        <v>181384.58</v>
      </c>
      <c r="E211" s="1" t="str">
        <f aca="false">B211&amp;C211</f>
        <v>3300609012</v>
      </c>
      <c r="F211" s="5" t="n">
        <f aca="false">IFERROR(VLOOKUP(E211,'Legacy Data'!$C$2:$D$1702,2,FALSE()),"No legacy match")</f>
        <v>181384.58</v>
      </c>
      <c r="G211" s="5" t="n">
        <f aca="false">IFERROR(F211-D211,"N/A")</f>
        <v>0</v>
      </c>
      <c r="H211" s="1" t="str">
        <f aca="false">IF(ISNUMBER(G211),IF(G211=0,"Match","Variance"),"Check")</f>
        <v>Match</v>
      </c>
    </row>
    <row r="212" customFormat="false" ht="15.75" hidden="false" customHeight="true" outlineLevel="0" collapsed="false">
      <c r="B212" s="2" t="s">
        <v>76</v>
      </c>
      <c r="C212" s="2" t="s">
        <v>82</v>
      </c>
      <c r="D212" s="4" t="n">
        <v>590838.36</v>
      </c>
      <c r="E212" s="1" t="str">
        <f aca="false">B212&amp;C212</f>
        <v>3300610002</v>
      </c>
      <c r="F212" s="5" t="n">
        <f aca="false">IFERROR(VLOOKUP(E212,'Legacy Data'!$C$2:$D$1702,2,FALSE()),"No legacy match")</f>
        <v>590838.36</v>
      </c>
      <c r="G212" s="5" t="n">
        <f aca="false">IFERROR(F212-D212,"N/A")</f>
        <v>0</v>
      </c>
      <c r="H212" s="1" t="str">
        <f aca="false">IF(ISNUMBER(G212),IF(G212=0,"Match","Variance"),"Check")</f>
        <v>Match</v>
      </c>
    </row>
    <row r="213" customFormat="false" ht="15.75" hidden="false" customHeight="true" outlineLevel="0" collapsed="false">
      <c r="B213" s="2" t="s">
        <v>76</v>
      </c>
      <c r="C213" s="2" t="s">
        <v>83</v>
      </c>
      <c r="D213" s="4" t="n">
        <v>-11796.92</v>
      </c>
      <c r="E213" s="1" t="str">
        <f aca="false">B213&amp;C213</f>
        <v>3300610005</v>
      </c>
      <c r="F213" s="5" t="n">
        <f aca="false">IFERROR(VLOOKUP(E213,'Legacy Data'!$C$2:$D$1702,2,FALSE()),"No legacy match")</f>
        <v>-11796.92</v>
      </c>
      <c r="G213" s="5" t="n">
        <f aca="false">IFERROR(F213-D213,"N/A")</f>
        <v>0</v>
      </c>
      <c r="H213" s="1" t="str">
        <f aca="false">IF(ISNUMBER(G213),IF(G213=0,"Match","Variance"),"Check")</f>
        <v>Match</v>
      </c>
    </row>
    <row r="214" customFormat="false" ht="15.75" hidden="false" customHeight="true" outlineLevel="0" collapsed="false">
      <c r="B214" s="2" t="s">
        <v>76</v>
      </c>
      <c r="C214" s="2" t="s">
        <v>31</v>
      </c>
      <c r="D214" s="4" t="n">
        <v>355505.02</v>
      </c>
      <c r="E214" s="1" t="str">
        <f aca="false">B214&amp;C214</f>
        <v>3300607000</v>
      </c>
      <c r="F214" s="5" t="n">
        <f aca="false">IFERROR(VLOOKUP(E214,'Legacy Data'!$C$2:$D$1702,2,FALSE()),"No legacy match")</f>
        <v>355505.02</v>
      </c>
      <c r="G214" s="5" t="n">
        <f aca="false">IFERROR(F214-D214,"N/A")</f>
        <v>0</v>
      </c>
      <c r="H214" s="1" t="str">
        <f aca="false">IF(ISNUMBER(G214),IF(G214=0,"Match","Variance"),"Check")</f>
        <v>Match</v>
      </c>
    </row>
    <row r="215" customFormat="false" ht="15.75" hidden="false" customHeight="true" outlineLevel="0" collapsed="false">
      <c r="B215" s="2" t="s">
        <v>76</v>
      </c>
      <c r="C215" s="2" t="s">
        <v>32</v>
      </c>
      <c r="D215" s="4" t="n">
        <v>131218.43</v>
      </c>
      <c r="E215" s="1" t="str">
        <f aca="false">B215&amp;C215</f>
        <v>3300607010</v>
      </c>
      <c r="F215" s="5" t="n">
        <f aca="false">IFERROR(VLOOKUP(E215,'Legacy Data'!$C$2:$D$1702,2,FALSE()),"No legacy match")</f>
        <v>131218.43</v>
      </c>
      <c r="G215" s="5" t="n">
        <f aca="false">IFERROR(F215-D215,"N/A")</f>
        <v>0</v>
      </c>
      <c r="H215" s="1" t="str">
        <f aca="false">IF(ISNUMBER(G215),IF(G215=0,"Match","Variance"),"Check")</f>
        <v>Match</v>
      </c>
    </row>
    <row r="216" customFormat="false" ht="15.75" hidden="false" customHeight="true" outlineLevel="0" collapsed="false">
      <c r="B216" s="2" t="s">
        <v>76</v>
      </c>
      <c r="C216" s="2" t="s">
        <v>33</v>
      </c>
      <c r="D216" s="4" t="n">
        <v>866509.2</v>
      </c>
      <c r="E216" s="1" t="str">
        <f aca="false">B216&amp;C216</f>
        <v>3300604031</v>
      </c>
      <c r="F216" s="5" t="n">
        <f aca="false">IFERROR(VLOOKUP(E216,'Legacy Data'!$C$2:$D$1702,2,FALSE()),"No legacy match")</f>
        <v>866509.2</v>
      </c>
      <c r="G216" s="5" t="n">
        <f aca="false">IFERROR(F216-D216,"N/A")</f>
        <v>0</v>
      </c>
      <c r="H216" s="1" t="str">
        <f aca="false">IF(ISNUMBER(G216),IF(G216=0,"Match","Variance"),"Check")</f>
        <v>Match</v>
      </c>
    </row>
    <row r="217" customFormat="false" ht="15.75" hidden="false" customHeight="true" outlineLevel="0" collapsed="false">
      <c r="B217" s="2" t="s">
        <v>76</v>
      </c>
      <c r="C217" s="2" t="s">
        <v>34</v>
      </c>
      <c r="D217" s="4" t="n">
        <v>0</v>
      </c>
      <c r="E217" s="1" t="str">
        <f aca="false">B217&amp;C217</f>
        <v>3300910002</v>
      </c>
      <c r="F217" s="5" t="n">
        <f aca="false">IFERROR(VLOOKUP(E217,'Legacy Data'!$C$2:$D$1702,2,FALSE()),"No legacy match")</f>
        <v>0</v>
      </c>
      <c r="G217" s="5" t="n">
        <f aca="false">IFERROR(F217-D217,"N/A")</f>
        <v>0</v>
      </c>
      <c r="H217" s="1" t="str">
        <f aca="false">IF(ISNUMBER(G217),IF(G217=0,"Match","Variance"),"Check")</f>
        <v>Match</v>
      </c>
    </row>
    <row r="218" customFormat="false" ht="15.75" hidden="false" customHeight="true" outlineLevel="0" collapsed="false">
      <c r="B218" s="2" t="s">
        <v>76</v>
      </c>
      <c r="C218" s="2" t="s">
        <v>35</v>
      </c>
      <c r="D218" s="4" t="n">
        <v>0</v>
      </c>
      <c r="E218" s="1" t="str">
        <f aca="false">B218&amp;C218</f>
        <v>3300910004</v>
      </c>
      <c r="F218" s="5" t="n">
        <f aca="false">IFERROR(VLOOKUP(E218,'Legacy Data'!$C$2:$D$1702,2,FALSE()),"No legacy match")</f>
        <v>0</v>
      </c>
      <c r="G218" s="5" t="n">
        <f aca="false">IFERROR(F218-D218,"N/A")</f>
        <v>0</v>
      </c>
      <c r="H218" s="1" t="str">
        <f aca="false">IF(ISNUMBER(G218),IF(G218=0,"Match","Variance"),"Check")</f>
        <v>Match</v>
      </c>
    </row>
    <row r="219" customFormat="false" ht="15.75" hidden="false" customHeight="true" outlineLevel="0" collapsed="false">
      <c r="B219" s="2" t="s">
        <v>84</v>
      </c>
      <c r="C219" s="2" t="s">
        <v>37</v>
      </c>
      <c r="D219" s="4" t="n">
        <v>110</v>
      </c>
      <c r="E219" s="1" t="str">
        <f aca="false">B219&amp;C219</f>
        <v>3320609008</v>
      </c>
      <c r="F219" s="5" t="n">
        <f aca="false">IFERROR(VLOOKUP(E219,'Legacy Data'!$C$2:$D$1702,2,FALSE()),"No legacy match")</f>
        <v>110</v>
      </c>
      <c r="G219" s="5" t="n">
        <f aca="false">IFERROR(F219-D219,"N/A")</f>
        <v>0</v>
      </c>
      <c r="H219" s="1" t="str">
        <f aca="false">IF(ISNUMBER(G219),IF(G219=0,"Match","Variance"),"Check")</f>
        <v>Match</v>
      </c>
    </row>
    <row r="220" customFormat="false" ht="15.75" hidden="false" customHeight="true" outlineLevel="0" collapsed="false">
      <c r="B220" s="2" t="s">
        <v>85</v>
      </c>
      <c r="C220" s="2" t="s">
        <v>86</v>
      </c>
      <c r="D220" s="4" t="n">
        <v>3913952.43</v>
      </c>
      <c r="E220" s="1" t="str">
        <f aca="false">B220&amp;C220</f>
        <v>3420601050</v>
      </c>
      <c r="F220" s="5" t="n">
        <f aca="false">IFERROR(VLOOKUP(E220,'Legacy Data'!$C$2:$D$1702,2,FALSE()),"No legacy match")</f>
        <v>3913952.43</v>
      </c>
      <c r="G220" s="5" t="n">
        <f aca="false">IFERROR(F220-D220,"N/A")</f>
        <v>0</v>
      </c>
      <c r="H220" s="1" t="str">
        <f aca="false">IF(ISNUMBER(G220),IF(G220=0,"Match","Variance"),"Check")</f>
        <v>Match</v>
      </c>
    </row>
    <row r="221" customFormat="false" ht="15.75" hidden="false" customHeight="true" outlineLevel="0" collapsed="false">
      <c r="B221" s="2" t="s">
        <v>85</v>
      </c>
      <c r="C221" s="2" t="s">
        <v>87</v>
      </c>
      <c r="D221" s="4" t="n">
        <v>4454006.78</v>
      </c>
      <c r="E221" s="1" t="str">
        <f aca="false">B221&amp;C221</f>
        <v>3420601051</v>
      </c>
      <c r="F221" s="5" t="n">
        <f aca="false">IFERROR(VLOOKUP(E221,'Legacy Data'!$C$2:$D$1702,2,FALSE()),"No legacy match")</f>
        <v>4454006.78</v>
      </c>
      <c r="G221" s="5" t="n">
        <f aca="false">IFERROR(F221-D221,"N/A")</f>
        <v>0</v>
      </c>
      <c r="H221" s="1" t="str">
        <f aca="false">IF(ISNUMBER(G221),IF(G221=0,"Match","Variance"),"Check")</f>
        <v>Match</v>
      </c>
    </row>
    <row r="222" customFormat="false" ht="15.75" hidden="false" customHeight="true" outlineLevel="0" collapsed="false">
      <c r="B222" s="2" t="s">
        <v>85</v>
      </c>
      <c r="C222" s="2" t="s">
        <v>77</v>
      </c>
      <c r="D222" s="4" t="n">
        <v>337728.04</v>
      </c>
      <c r="E222" s="1" t="str">
        <f aca="false">B222&amp;C222</f>
        <v>3420601052</v>
      </c>
      <c r="F222" s="5" t="n">
        <f aca="false">IFERROR(VLOOKUP(E222,'Legacy Data'!$C$2:$D$1702,2,FALSE()),"No legacy match")</f>
        <v>337728.04</v>
      </c>
      <c r="G222" s="5" t="n">
        <f aca="false">IFERROR(F222-D222,"N/A")</f>
        <v>0</v>
      </c>
      <c r="H222" s="1" t="str">
        <f aca="false">IF(ISNUMBER(G222),IF(G222=0,"Match","Variance"),"Check")</f>
        <v>Match</v>
      </c>
    </row>
    <row r="223" customFormat="false" ht="15.75" hidden="false" customHeight="true" outlineLevel="0" collapsed="false">
      <c r="B223" s="2" t="s">
        <v>85</v>
      </c>
      <c r="C223" s="2" t="s">
        <v>8</v>
      </c>
      <c r="D223" s="4" t="n">
        <v>713989.84</v>
      </c>
      <c r="E223" s="1" t="str">
        <f aca="false">B223&amp;C223</f>
        <v>3420602000</v>
      </c>
      <c r="F223" s="5" t="n">
        <f aca="false">IFERROR(VLOOKUP(E223,'Legacy Data'!$C$2:$D$1702,2,FALSE()),"No legacy match")</f>
        <v>713989.84</v>
      </c>
      <c r="G223" s="5" t="n">
        <f aca="false">IFERROR(F223-D223,"N/A")</f>
        <v>0</v>
      </c>
      <c r="H223" s="1" t="str">
        <f aca="false">IF(ISNUMBER(G223),IF(G223=0,"Match","Variance"),"Check")</f>
        <v>Match</v>
      </c>
    </row>
    <row r="224" customFormat="false" ht="15.75" hidden="false" customHeight="true" outlineLevel="0" collapsed="false">
      <c r="B224" s="2" t="s">
        <v>85</v>
      </c>
      <c r="C224" s="2" t="s">
        <v>10</v>
      </c>
      <c r="D224" s="4" t="n">
        <v>13322.02</v>
      </c>
      <c r="E224" s="1" t="str">
        <f aca="false">B224&amp;C224</f>
        <v>3420602004</v>
      </c>
      <c r="F224" s="5" t="n">
        <f aca="false">IFERROR(VLOOKUP(E224,'Legacy Data'!$C$2:$D$1702,2,FALSE()),"No legacy match")</f>
        <v>13322.02</v>
      </c>
      <c r="G224" s="5" t="n">
        <f aca="false">IFERROR(F224-D224,"N/A")</f>
        <v>0</v>
      </c>
      <c r="H224" s="1" t="str">
        <f aca="false">IF(ISNUMBER(G224),IF(G224=0,"Match","Variance"),"Check")</f>
        <v>Match</v>
      </c>
    </row>
    <row r="225" customFormat="false" ht="15.75" hidden="false" customHeight="true" outlineLevel="0" collapsed="false">
      <c r="B225" s="2" t="s">
        <v>85</v>
      </c>
      <c r="C225" s="2" t="s">
        <v>12</v>
      </c>
      <c r="D225" s="4" t="n">
        <v>35870.24</v>
      </c>
      <c r="E225" s="1" t="str">
        <f aca="false">B225&amp;C225</f>
        <v>3420602010</v>
      </c>
      <c r="F225" s="5" t="n">
        <f aca="false">IFERROR(VLOOKUP(E225,'Legacy Data'!$C$2:$D$1702,2,FALSE()),"No legacy match")</f>
        <v>35870.24</v>
      </c>
      <c r="G225" s="5" t="n">
        <f aca="false">IFERROR(F225-D225,"N/A")</f>
        <v>0</v>
      </c>
      <c r="H225" s="1" t="str">
        <f aca="false">IF(ISNUMBER(G225),IF(G225=0,"Match","Variance"),"Check")</f>
        <v>Match</v>
      </c>
    </row>
    <row r="226" customFormat="false" ht="15.75" hidden="false" customHeight="true" outlineLevel="0" collapsed="false">
      <c r="B226" s="2" t="s">
        <v>85</v>
      </c>
      <c r="C226" s="2" t="s">
        <v>13</v>
      </c>
      <c r="D226" s="4" t="n">
        <v>31928.36</v>
      </c>
      <c r="E226" s="1" t="str">
        <f aca="false">B226&amp;C226</f>
        <v>3420602020</v>
      </c>
      <c r="F226" s="5" t="n">
        <f aca="false">IFERROR(VLOOKUP(E226,'Legacy Data'!$C$2:$D$1702,2,FALSE()),"No legacy match")</f>
        <v>31928.36</v>
      </c>
      <c r="G226" s="5" t="n">
        <f aca="false">IFERROR(F226-D226,"N/A")</f>
        <v>0</v>
      </c>
      <c r="H226" s="1" t="str">
        <f aca="false">IF(ISNUMBER(G226),IF(G226=0,"Match","Variance"),"Check")</f>
        <v>Match</v>
      </c>
    </row>
    <row r="227" customFormat="false" ht="15.75" hidden="false" customHeight="true" outlineLevel="0" collapsed="false">
      <c r="B227" s="2" t="s">
        <v>85</v>
      </c>
      <c r="C227" s="2" t="s">
        <v>14</v>
      </c>
      <c r="D227" s="4" t="n">
        <v>-18168.11</v>
      </c>
      <c r="E227" s="1" t="str">
        <f aca="false">B227&amp;C227</f>
        <v>3420602030</v>
      </c>
      <c r="F227" s="5" t="n">
        <f aca="false">IFERROR(VLOOKUP(E227,'Legacy Data'!$C$2:$D$1702,2,FALSE()),"No legacy match")</f>
        <v>-18168.11</v>
      </c>
      <c r="G227" s="5" t="n">
        <f aca="false">IFERROR(F227-D227,"N/A")</f>
        <v>0</v>
      </c>
      <c r="H227" s="1" t="str">
        <f aca="false">IF(ISNUMBER(G227),IF(G227=0,"Match","Variance"),"Check")</f>
        <v>Match</v>
      </c>
    </row>
    <row r="228" customFormat="false" ht="15.75" hidden="false" customHeight="true" outlineLevel="0" collapsed="false">
      <c r="B228" s="2" t="s">
        <v>85</v>
      </c>
      <c r="C228" s="2" t="s">
        <v>42</v>
      </c>
      <c r="D228" s="4" t="n">
        <v>15636.53</v>
      </c>
      <c r="E228" s="1" t="str">
        <f aca="false">B228&amp;C228</f>
        <v>3420602040</v>
      </c>
      <c r="F228" s="5" t="n">
        <f aca="false">IFERROR(VLOOKUP(E228,'Legacy Data'!$C$2:$D$1702,2,FALSE()),"No legacy match")</f>
        <v>15636.53</v>
      </c>
      <c r="G228" s="5" t="n">
        <f aca="false">IFERROR(F228-D228,"N/A")</f>
        <v>0</v>
      </c>
      <c r="H228" s="1" t="str">
        <f aca="false">IF(ISNUMBER(G228),IF(G228=0,"Match","Variance"),"Check")</f>
        <v>Match</v>
      </c>
    </row>
    <row r="229" customFormat="false" ht="15.75" hidden="false" customHeight="true" outlineLevel="0" collapsed="false">
      <c r="B229" s="2" t="s">
        <v>85</v>
      </c>
      <c r="C229" s="2" t="s">
        <v>43</v>
      </c>
      <c r="D229" s="4" t="n">
        <v>5133.83</v>
      </c>
      <c r="E229" s="1" t="str">
        <f aca="false">B229&amp;C229</f>
        <v>3420602050</v>
      </c>
      <c r="F229" s="5" t="n">
        <f aca="false">IFERROR(VLOOKUP(E229,'Legacy Data'!$C$2:$D$1702,2,FALSE()),"No legacy match")</f>
        <v>5133.83</v>
      </c>
      <c r="G229" s="5" t="n">
        <f aca="false">IFERROR(F229-D229,"N/A")</f>
        <v>0</v>
      </c>
      <c r="H229" s="1" t="str">
        <f aca="false">IF(ISNUMBER(G229),IF(G229=0,"Match","Variance"),"Check")</f>
        <v>Match</v>
      </c>
    </row>
    <row r="230" customFormat="false" ht="15.75" hidden="false" customHeight="true" outlineLevel="0" collapsed="false">
      <c r="B230" s="2" t="s">
        <v>85</v>
      </c>
      <c r="C230" s="2" t="s">
        <v>44</v>
      </c>
      <c r="D230" s="4" t="n">
        <v>250</v>
      </c>
      <c r="E230" s="1" t="str">
        <f aca="false">B230&amp;C230</f>
        <v>3420602060</v>
      </c>
      <c r="F230" s="5" t="n">
        <f aca="false">IFERROR(VLOOKUP(E230,'Legacy Data'!$C$2:$D$1702,2,FALSE()),"No legacy match")</f>
        <v>250</v>
      </c>
      <c r="G230" s="5" t="n">
        <f aca="false">IFERROR(F230-D230,"N/A")</f>
        <v>0</v>
      </c>
      <c r="H230" s="1" t="str">
        <f aca="false">IF(ISNUMBER(G230),IF(G230=0,"Match","Variance"),"Check")</f>
        <v>Match</v>
      </c>
    </row>
    <row r="231" customFormat="false" ht="15.75" hidden="false" customHeight="true" outlineLevel="0" collapsed="false">
      <c r="B231" s="2" t="s">
        <v>85</v>
      </c>
      <c r="C231" s="2" t="s">
        <v>15</v>
      </c>
      <c r="D231" s="4" t="n">
        <v>404702.13</v>
      </c>
      <c r="E231" s="1" t="str">
        <f aca="false">B231&amp;C231</f>
        <v>3420602070</v>
      </c>
      <c r="F231" s="5" t="n">
        <f aca="false">IFERROR(VLOOKUP(E231,'Legacy Data'!$C$2:$D$1702,2,FALSE()),"No legacy match")</f>
        <v>404702.13</v>
      </c>
      <c r="G231" s="5" t="n">
        <f aca="false">IFERROR(F231-D231,"N/A")</f>
        <v>0</v>
      </c>
      <c r="H231" s="1" t="str">
        <f aca="false">IF(ISNUMBER(G231),IF(G231=0,"Match","Variance"),"Check")</f>
        <v>Match</v>
      </c>
    </row>
    <row r="232" customFormat="false" ht="15.75" hidden="false" customHeight="true" outlineLevel="0" collapsed="false">
      <c r="B232" s="2" t="s">
        <v>85</v>
      </c>
      <c r="C232" s="2" t="s">
        <v>16</v>
      </c>
      <c r="D232" s="4" t="n">
        <v>37873.4</v>
      </c>
      <c r="E232" s="1" t="str">
        <f aca="false">B232&amp;C232</f>
        <v>3420602072</v>
      </c>
      <c r="F232" s="5" t="n">
        <f aca="false">IFERROR(VLOOKUP(E232,'Legacy Data'!$C$2:$D$1702,2,FALSE()),"No legacy match")</f>
        <v>37873.4</v>
      </c>
      <c r="G232" s="5" t="n">
        <f aca="false">IFERROR(F232-D232,"N/A")</f>
        <v>0</v>
      </c>
      <c r="H232" s="1" t="str">
        <f aca="false">IF(ISNUMBER(G232),IF(G232=0,"Match","Variance"),"Check")</f>
        <v>Match</v>
      </c>
    </row>
    <row r="233" customFormat="false" ht="15.75" hidden="false" customHeight="true" outlineLevel="0" collapsed="false">
      <c r="B233" s="2" t="s">
        <v>85</v>
      </c>
      <c r="C233" s="2" t="s">
        <v>48</v>
      </c>
      <c r="D233" s="4" t="n">
        <v>-9222</v>
      </c>
      <c r="E233" s="1" t="str">
        <f aca="false">B233&amp;C233</f>
        <v>3420602080</v>
      </c>
      <c r="F233" s="5" t="n">
        <f aca="false">IFERROR(VLOOKUP(E233,'Legacy Data'!$C$2:$D$1702,2,FALSE()),"No legacy match")</f>
        <v>-9222</v>
      </c>
      <c r="G233" s="5" t="n">
        <f aca="false">IFERROR(F233-D233,"N/A")</f>
        <v>0</v>
      </c>
      <c r="H233" s="1" t="str">
        <f aca="false">IF(ISNUMBER(G233),IF(G233=0,"Match","Variance"),"Check")</f>
        <v>Match</v>
      </c>
    </row>
    <row r="234" customFormat="false" ht="15.75" hidden="false" customHeight="true" outlineLevel="0" collapsed="false">
      <c r="B234" s="2" t="s">
        <v>85</v>
      </c>
      <c r="C234" s="2" t="s">
        <v>17</v>
      </c>
      <c r="D234" s="4" t="n">
        <v>80785.53</v>
      </c>
      <c r="E234" s="1" t="str">
        <f aca="false">B234&amp;C234</f>
        <v>3420603000</v>
      </c>
      <c r="F234" s="5" t="n">
        <f aca="false">IFERROR(VLOOKUP(E234,'Legacy Data'!$C$2:$D$1702,2,FALSE()),"No legacy match")</f>
        <v>80785.53</v>
      </c>
      <c r="G234" s="5" t="n">
        <f aca="false">IFERROR(F234-D234,"N/A")</f>
        <v>0</v>
      </c>
      <c r="H234" s="1" t="str">
        <f aca="false">IF(ISNUMBER(G234),IF(G234=0,"Match","Variance"),"Check")</f>
        <v>Match</v>
      </c>
    </row>
    <row r="235" customFormat="false" ht="15.75" hidden="false" customHeight="true" outlineLevel="0" collapsed="false">
      <c r="B235" s="2" t="s">
        <v>85</v>
      </c>
      <c r="C235" s="2" t="s">
        <v>18</v>
      </c>
      <c r="D235" s="4" t="n">
        <v>0</v>
      </c>
      <c r="E235" s="1" t="str">
        <f aca="false">B235&amp;C235</f>
        <v>3420910003</v>
      </c>
      <c r="F235" s="5" t="n">
        <f aca="false">IFERROR(VLOOKUP(E235,'Legacy Data'!$C$2:$D$1702,2,FALSE()),"No legacy match")</f>
        <v>0</v>
      </c>
      <c r="G235" s="5" t="n">
        <f aca="false">IFERROR(F235-D235,"N/A")</f>
        <v>0</v>
      </c>
      <c r="H235" s="1" t="str">
        <f aca="false">IF(ISNUMBER(G235),IF(G235=0,"Match","Variance"),"Check")</f>
        <v>Match</v>
      </c>
    </row>
    <row r="236" customFormat="false" ht="15.75" hidden="false" customHeight="true" outlineLevel="0" collapsed="false">
      <c r="B236" s="2" t="s">
        <v>85</v>
      </c>
      <c r="C236" s="2" t="s">
        <v>19</v>
      </c>
      <c r="D236" s="4" t="n">
        <v>143936.48</v>
      </c>
      <c r="E236" s="1" t="str">
        <f aca="false">B236&amp;C236</f>
        <v>3420604040</v>
      </c>
      <c r="F236" s="5" t="n">
        <f aca="false">IFERROR(VLOOKUP(E236,'Legacy Data'!$C$2:$D$1702,2,FALSE()),"No legacy match")</f>
        <v>143936.48</v>
      </c>
      <c r="G236" s="5" t="n">
        <f aca="false">IFERROR(F236-D236,"N/A")</f>
        <v>0</v>
      </c>
      <c r="H236" s="1" t="str">
        <f aca="false">IF(ISNUMBER(G236),IF(G236=0,"Match","Variance"),"Check")</f>
        <v>Match</v>
      </c>
    </row>
    <row r="237" customFormat="false" ht="15.75" hidden="false" customHeight="true" outlineLevel="0" collapsed="false">
      <c r="B237" s="2" t="s">
        <v>85</v>
      </c>
      <c r="C237" s="2" t="s">
        <v>20</v>
      </c>
      <c r="D237" s="4" t="n">
        <v>0</v>
      </c>
      <c r="E237" s="1" t="str">
        <f aca="false">B237&amp;C237</f>
        <v>3420910001</v>
      </c>
      <c r="F237" s="5" t="n">
        <f aca="false">IFERROR(VLOOKUP(E237,'Legacy Data'!$C$2:$D$1702,2,FALSE()),"No legacy match")</f>
        <v>0</v>
      </c>
      <c r="G237" s="5" t="n">
        <f aca="false">IFERROR(F237-D237,"N/A")</f>
        <v>0</v>
      </c>
      <c r="H237" s="1" t="str">
        <f aca="false">IF(ISNUMBER(G237),IF(G237=0,"Match","Variance"),"Check")</f>
        <v>Match</v>
      </c>
    </row>
    <row r="238" customFormat="false" ht="15.75" hidden="false" customHeight="true" outlineLevel="0" collapsed="false">
      <c r="B238" s="2" t="s">
        <v>85</v>
      </c>
      <c r="C238" s="2" t="s">
        <v>22</v>
      </c>
      <c r="D238" s="4" t="n">
        <v>61657.04</v>
      </c>
      <c r="E238" s="1" t="str">
        <f aca="false">B238&amp;C238</f>
        <v>3420604010</v>
      </c>
      <c r="F238" s="5" t="n">
        <f aca="false">IFERROR(VLOOKUP(E238,'Legacy Data'!$C$2:$D$1702,2,FALSE()),"No legacy match")</f>
        <v>61657.04</v>
      </c>
      <c r="G238" s="5" t="n">
        <f aca="false">IFERROR(F238-D238,"N/A")</f>
        <v>0</v>
      </c>
      <c r="H238" s="1" t="str">
        <f aca="false">IF(ISNUMBER(G238),IF(G238=0,"Match","Variance"),"Check")</f>
        <v>Match</v>
      </c>
    </row>
    <row r="239" customFormat="false" ht="15.75" hidden="false" customHeight="true" outlineLevel="0" collapsed="false">
      <c r="B239" s="2" t="s">
        <v>85</v>
      </c>
      <c r="C239" s="2" t="s">
        <v>51</v>
      </c>
      <c r="D239" s="4" t="n">
        <v>552.85</v>
      </c>
      <c r="E239" s="1" t="str">
        <f aca="false">B239&amp;C239</f>
        <v>3420605000</v>
      </c>
      <c r="F239" s="5" t="n">
        <f aca="false">IFERROR(VLOOKUP(E239,'Legacy Data'!$C$2:$D$1702,2,FALSE()),"No legacy match")</f>
        <v>552.85</v>
      </c>
      <c r="G239" s="5" t="n">
        <f aca="false">IFERROR(F239-D239,"N/A")</f>
        <v>0</v>
      </c>
      <c r="H239" s="1" t="str">
        <f aca="false">IF(ISNUMBER(G239),IF(G239=0,"Match","Variance"),"Check")</f>
        <v>Match</v>
      </c>
    </row>
    <row r="240" customFormat="false" ht="15.75" hidden="false" customHeight="true" outlineLevel="0" collapsed="false">
      <c r="B240" s="2" t="s">
        <v>85</v>
      </c>
      <c r="C240" s="2" t="s">
        <v>53</v>
      </c>
      <c r="D240" s="4" t="n">
        <v>47451.59</v>
      </c>
      <c r="E240" s="1" t="str">
        <f aca="false">B240&amp;C240</f>
        <v>3420605020</v>
      </c>
      <c r="F240" s="5" t="n">
        <f aca="false">IFERROR(VLOOKUP(E240,'Legacy Data'!$C$2:$D$1702,2,FALSE()),"No legacy match")</f>
        <v>47451.59</v>
      </c>
      <c r="G240" s="5" t="n">
        <f aca="false">IFERROR(F240-D240,"N/A")</f>
        <v>0</v>
      </c>
      <c r="H240" s="1" t="str">
        <f aca="false">IF(ISNUMBER(G240),IF(G240=0,"Match","Variance"),"Check")</f>
        <v>Match</v>
      </c>
    </row>
    <row r="241" customFormat="false" ht="15.75" hidden="false" customHeight="true" outlineLevel="0" collapsed="false">
      <c r="B241" s="2" t="s">
        <v>85</v>
      </c>
      <c r="C241" s="2" t="s">
        <v>57</v>
      </c>
      <c r="D241" s="4" t="n">
        <v>7368.38</v>
      </c>
      <c r="E241" s="1" t="str">
        <f aca="false">B241&amp;C241</f>
        <v>3420606030</v>
      </c>
      <c r="F241" s="5" t="n">
        <f aca="false">IFERROR(VLOOKUP(E241,'Legacy Data'!$C$2:$D$1702,2,FALSE()),"No legacy match")</f>
        <v>7368.38</v>
      </c>
      <c r="G241" s="5" t="n">
        <f aca="false">IFERROR(F241-D241,"N/A")</f>
        <v>0</v>
      </c>
      <c r="H241" s="1" t="str">
        <f aca="false">IF(ISNUMBER(G241),IF(G241=0,"Match","Variance"),"Check")</f>
        <v>Match</v>
      </c>
    </row>
    <row r="242" customFormat="false" ht="15.75" hidden="false" customHeight="true" outlineLevel="0" collapsed="false">
      <c r="B242" s="2" t="s">
        <v>85</v>
      </c>
      <c r="C242" s="2" t="s">
        <v>59</v>
      </c>
      <c r="D242" s="4" t="n">
        <v>-1572.04</v>
      </c>
      <c r="E242" s="1" t="str">
        <f aca="false">B242&amp;C242</f>
        <v>3420608010</v>
      </c>
      <c r="F242" s="5" t="n">
        <f aca="false">IFERROR(VLOOKUP(E242,'Legacy Data'!$C$2:$D$1702,2,FALSE()),"No legacy match")</f>
        <v>-1572.04</v>
      </c>
      <c r="G242" s="5" t="n">
        <f aca="false">IFERROR(F242-D242,"N/A")</f>
        <v>0</v>
      </c>
      <c r="H242" s="1" t="str">
        <f aca="false">IF(ISNUMBER(G242),IF(G242=0,"Match","Variance"),"Check")</f>
        <v>Match</v>
      </c>
    </row>
    <row r="243" customFormat="false" ht="15.75" hidden="false" customHeight="true" outlineLevel="0" collapsed="false">
      <c r="B243" s="2" t="s">
        <v>85</v>
      </c>
      <c r="C243" s="2" t="s">
        <v>23</v>
      </c>
      <c r="D243" s="4" t="n">
        <v>18671.14</v>
      </c>
      <c r="E243" s="1" t="str">
        <f aca="false">B243&amp;C243</f>
        <v>3420608020</v>
      </c>
      <c r="F243" s="5" t="n">
        <f aca="false">IFERROR(VLOOKUP(E243,'Legacy Data'!$C$2:$D$1702,2,FALSE()),"No legacy match")</f>
        <v>18671.14</v>
      </c>
      <c r="G243" s="5" t="n">
        <f aca="false">IFERROR(F243-D243,"N/A")</f>
        <v>0</v>
      </c>
      <c r="H243" s="1" t="str">
        <f aca="false">IF(ISNUMBER(G243),IF(G243=0,"Match","Variance"),"Check")</f>
        <v>Match</v>
      </c>
    </row>
    <row r="244" customFormat="false" ht="15.75" hidden="false" customHeight="true" outlineLevel="0" collapsed="false">
      <c r="B244" s="2" t="s">
        <v>85</v>
      </c>
      <c r="C244" s="2" t="s">
        <v>60</v>
      </c>
      <c r="D244" s="4" t="n">
        <v>-1362.23</v>
      </c>
      <c r="E244" s="1" t="str">
        <f aca="false">B244&amp;C244</f>
        <v>3420608040</v>
      </c>
      <c r="F244" s="5" t="n">
        <f aca="false">IFERROR(VLOOKUP(E244,'Legacy Data'!$C$2:$D$1702,2,FALSE()),"No legacy match")</f>
        <v>-1362.23</v>
      </c>
      <c r="G244" s="5" t="n">
        <f aca="false">IFERROR(F244-D244,"N/A")</f>
        <v>0</v>
      </c>
      <c r="H244" s="1" t="str">
        <f aca="false">IF(ISNUMBER(G244),IF(G244=0,"Match","Variance"),"Check")</f>
        <v>Match</v>
      </c>
    </row>
    <row r="245" customFormat="false" ht="15.75" hidden="false" customHeight="true" outlineLevel="0" collapsed="false">
      <c r="B245" s="2" t="s">
        <v>85</v>
      </c>
      <c r="C245" s="2" t="s">
        <v>61</v>
      </c>
      <c r="D245" s="4" t="n">
        <v>54.55</v>
      </c>
      <c r="E245" s="1" t="str">
        <f aca="false">B245&amp;C245</f>
        <v>3420608000</v>
      </c>
      <c r="F245" s="5" t="n">
        <f aca="false">IFERROR(VLOOKUP(E245,'Legacy Data'!$C$2:$D$1702,2,FALSE()),"No legacy match")</f>
        <v>54.55</v>
      </c>
      <c r="G245" s="5" t="n">
        <f aca="false">IFERROR(F245-D245,"N/A")</f>
        <v>0</v>
      </c>
      <c r="H245" s="1" t="str">
        <f aca="false">IF(ISNUMBER(G245),IF(G245=0,"Match","Variance"),"Check")</f>
        <v>Match</v>
      </c>
    </row>
    <row r="246" customFormat="false" ht="15.75" hidden="false" customHeight="true" outlineLevel="0" collapsed="false">
      <c r="B246" s="2" t="s">
        <v>85</v>
      </c>
      <c r="C246" s="2" t="s">
        <v>24</v>
      </c>
      <c r="D246" s="4" t="n">
        <v>13258.16</v>
      </c>
      <c r="E246" s="1" t="str">
        <f aca="false">B246&amp;C246</f>
        <v>3420609004</v>
      </c>
      <c r="F246" s="5" t="n">
        <f aca="false">IFERROR(VLOOKUP(E246,'Legacy Data'!$C$2:$D$1702,2,FALSE()),"No legacy match")</f>
        <v>13258.16</v>
      </c>
      <c r="G246" s="5" t="n">
        <f aca="false">IFERROR(F246-D246,"N/A")</f>
        <v>0</v>
      </c>
      <c r="H246" s="1" t="str">
        <f aca="false">IF(ISNUMBER(G246),IF(G246=0,"Match","Variance"),"Check")</f>
        <v>Match</v>
      </c>
    </row>
    <row r="247" customFormat="false" ht="15.75" hidden="false" customHeight="true" outlineLevel="0" collapsed="false">
      <c r="B247" s="2" t="s">
        <v>85</v>
      </c>
      <c r="C247" s="2" t="s">
        <v>27</v>
      </c>
      <c r="D247" s="4" t="n">
        <v>6124.37</v>
      </c>
      <c r="E247" s="1" t="str">
        <f aca="false">B247&amp;C247</f>
        <v>3420609002</v>
      </c>
      <c r="F247" s="5" t="n">
        <f aca="false">IFERROR(VLOOKUP(E247,'Legacy Data'!$C$2:$D$1702,2,FALSE()),"No legacy match")</f>
        <v>6124.37</v>
      </c>
      <c r="G247" s="5" t="n">
        <f aca="false">IFERROR(F247-D247,"N/A")</f>
        <v>0</v>
      </c>
      <c r="H247" s="1" t="str">
        <f aca="false">IF(ISNUMBER(G247),IF(G247=0,"Match","Variance"),"Check")</f>
        <v>Match</v>
      </c>
    </row>
    <row r="248" customFormat="false" ht="15.75" hidden="false" customHeight="true" outlineLevel="0" collapsed="false">
      <c r="B248" s="2" t="s">
        <v>85</v>
      </c>
      <c r="C248" s="2" t="s">
        <v>28</v>
      </c>
      <c r="D248" s="4" t="n">
        <v>634.18</v>
      </c>
      <c r="E248" s="1" t="str">
        <f aca="false">B248&amp;C248</f>
        <v>3420609003</v>
      </c>
      <c r="F248" s="5" t="n">
        <f aca="false">IFERROR(VLOOKUP(E248,'Legacy Data'!$C$2:$D$1702,2,FALSE()),"No legacy match")</f>
        <v>634.18</v>
      </c>
      <c r="G248" s="5" t="n">
        <f aca="false">IFERROR(F248-D248,"N/A")</f>
        <v>0</v>
      </c>
      <c r="H248" s="1" t="str">
        <f aca="false">IF(ISNUMBER(G248),IF(G248=0,"Match","Variance"),"Check")</f>
        <v>Match</v>
      </c>
    </row>
    <row r="249" customFormat="false" ht="15.75" hidden="false" customHeight="true" outlineLevel="0" collapsed="false">
      <c r="B249" s="2" t="s">
        <v>85</v>
      </c>
      <c r="C249" s="2" t="s">
        <v>29</v>
      </c>
      <c r="D249" s="4" t="n">
        <v>4748.54</v>
      </c>
      <c r="E249" s="1" t="str">
        <f aca="false">B249&amp;C249</f>
        <v>3420609009</v>
      </c>
      <c r="F249" s="5" t="n">
        <f aca="false">IFERROR(VLOOKUP(E249,'Legacy Data'!$C$2:$D$1702,2,FALSE()),"No legacy match")</f>
        <v>4748.54</v>
      </c>
      <c r="G249" s="5" t="n">
        <f aca="false">IFERROR(F249-D249,"N/A")</f>
        <v>0</v>
      </c>
      <c r="H249" s="1" t="str">
        <f aca="false">IF(ISNUMBER(G249),IF(G249=0,"Match","Variance"),"Check")</f>
        <v>Match</v>
      </c>
    </row>
    <row r="250" customFormat="false" ht="15.75" hidden="false" customHeight="true" outlineLevel="0" collapsed="false">
      <c r="B250" s="2" t="s">
        <v>85</v>
      </c>
      <c r="C250" s="2" t="s">
        <v>30</v>
      </c>
      <c r="D250" s="4" t="n">
        <v>-3326.21</v>
      </c>
      <c r="E250" s="1" t="str">
        <f aca="false">B250&amp;C250</f>
        <v>3420609010</v>
      </c>
      <c r="F250" s="5" t="n">
        <f aca="false">IFERROR(VLOOKUP(E250,'Legacy Data'!$C$2:$D$1702,2,FALSE()),"No legacy match")</f>
        <v>-3326.21</v>
      </c>
      <c r="G250" s="5" t="n">
        <f aca="false">IFERROR(F250-D250,"N/A")</f>
        <v>0</v>
      </c>
      <c r="H250" s="1" t="str">
        <f aca="false">IF(ISNUMBER(G250),IF(G250=0,"Match","Variance"),"Check")</f>
        <v>Match</v>
      </c>
    </row>
    <row r="251" customFormat="false" ht="15.75" hidden="false" customHeight="true" outlineLevel="0" collapsed="false">
      <c r="B251" s="2" t="s">
        <v>85</v>
      </c>
      <c r="C251" s="2" t="s">
        <v>39</v>
      </c>
      <c r="D251" s="4" t="n">
        <v>-37139.39</v>
      </c>
      <c r="E251" s="1" t="str">
        <f aca="false">B251&amp;C251</f>
        <v>3420609012</v>
      </c>
      <c r="F251" s="5" t="n">
        <f aca="false">IFERROR(VLOOKUP(E251,'Legacy Data'!$C$2:$D$1702,2,FALSE()),"No legacy match")</f>
        <v>-37139.39</v>
      </c>
      <c r="G251" s="5" t="n">
        <f aca="false">IFERROR(F251-D251,"N/A")</f>
        <v>0</v>
      </c>
      <c r="H251" s="1" t="str">
        <f aca="false">IF(ISNUMBER(G251),IF(G251=0,"Match","Variance"),"Check")</f>
        <v>Match</v>
      </c>
    </row>
    <row r="252" customFormat="false" ht="15.75" hidden="false" customHeight="true" outlineLevel="0" collapsed="false">
      <c r="B252" s="2" t="s">
        <v>85</v>
      </c>
      <c r="C252" s="2" t="s">
        <v>82</v>
      </c>
      <c r="D252" s="4" t="n">
        <v>6231.45</v>
      </c>
      <c r="E252" s="1" t="str">
        <f aca="false">B252&amp;C252</f>
        <v>3420610002</v>
      </c>
      <c r="F252" s="5" t="n">
        <f aca="false">IFERROR(VLOOKUP(E252,'Legacy Data'!$C$2:$D$1702,2,FALSE()),"No legacy match")</f>
        <v>6231.45</v>
      </c>
      <c r="G252" s="5" t="n">
        <f aca="false">IFERROR(F252-D252,"N/A")</f>
        <v>0</v>
      </c>
      <c r="H252" s="1" t="str">
        <f aca="false">IF(ISNUMBER(G252),IF(G252=0,"Match","Variance"),"Check")</f>
        <v>Match</v>
      </c>
    </row>
    <row r="253" customFormat="false" ht="15.75" hidden="false" customHeight="true" outlineLevel="0" collapsed="false">
      <c r="B253" s="2" t="s">
        <v>85</v>
      </c>
      <c r="C253" s="2" t="s">
        <v>83</v>
      </c>
      <c r="D253" s="4" t="n">
        <v>-77693.43</v>
      </c>
      <c r="E253" s="1" t="str">
        <f aca="false">B253&amp;C253</f>
        <v>3420610005</v>
      </c>
      <c r="F253" s="5" t="n">
        <f aca="false">IFERROR(VLOOKUP(E253,'Legacy Data'!$C$2:$D$1702,2,FALSE()),"No legacy match")</f>
        <v>-77693.43</v>
      </c>
      <c r="G253" s="5" t="n">
        <f aca="false">IFERROR(F253-D253,"N/A")</f>
        <v>0</v>
      </c>
      <c r="H253" s="1" t="str">
        <f aca="false">IF(ISNUMBER(G253),IF(G253=0,"Match","Variance"),"Check")</f>
        <v>Match</v>
      </c>
    </row>
    <row r="254" customFormat="false" ht="15.75" hidden="false" customHeight="true" outlineLevel="0" collapsed="false">
      <c r="B254" s="2" t="s">
        <v>85</v>
      </c>
      <c r="C254" s="2" t="s">
        <v>31</v>
      </c>
      <c r="D254" s="4" t="n">
        <v>62.73</v>
      </c>
      <c r="E254" s="1" t="str">
        <f aca="false">B254&amp;C254</f>
        <v>3420607000</v>
      </c>
      <c r="F254" s="5" t="n">
        <f aca="false">IFERROR(VLOOKUP(E254,'Legacy Data'!$C$2:$D$1702,2,FALSE()),"No legacy match")</f>
        <v>62.73</v>
      </c>
      <c r="G254" s="5" t="n">
        <f aca="false">IFERROR(F254-D254,"N/A")</f>
        <v>0</v>
      </c>
      <c r="H254" s="1" t="str">
        <f aca="false">IF(ISNUMBER(G254),IF(G254=0,"Match","Variance"),"Check")</f>
        <v>Match</v>
      </c>
    </row>
    <row r="255" customFormat="false" ht="15.75" hidden="false" customHeight="true" outlineLevel="0" collapsed="false">
      <c r="B255" s="2" t="s">
        <v>85</v>
      </c>
      <c r="C255" s="2" t="s">
        <v>35</v>
      </c>
      <c r="D255" s="4" t="n">
        <v>0</v>
      </c>
      <c r="E255" s="1" t="str">
        <f aca="false">B255&amp;C255</f>
        <v>3420910004</v>
      </c>
      <c r="F255" s="5" t="n">
        <f aca="false">IFERROR(VLOOKUP(E255,'Legacy Data'!$C$2:$D$1702,2,FALSE()),"No legacy match")</f>
        <v>0</v>
      </c>
      <c r="G255" s="5" t="n">
        <f aca="false">IFERROR(F255-D255,"N/A")</f>
        <v>0</v>
      </c>
      <c r="H255" s="1" t="str">
        <f aca="false">IF(ISNUMBER(G255),IF(G255=0,"Match","Variance"),"Check")</f>
        <v>Match</v>
      </c>
    </row>
    <row r="256" customFormat="false" ht="15.75" hidden="false" customHeight="true" outlineLevel="0" collapsed="false">
      <c r="B256" s="2" t="s">
        <v>85</v>
      </c>
      <c r="C256" s="2" t="s">
        <v>75</v>
      </c>
      <c r="D256" s="4" t="n">
        <v>138342.64</v>
      </c>
      <c r="E256" s="1" t="str">
        <f aca="false">B256&amp;C256</f>
        <v>3420607040</v>
      </c>
      <c r="F256" s="5" t="n">
        <f aca="false">IFERROR(VLOOKUP(E256,'Legacy Data'!$C$2:$D$1702,2,FALSE()),"No legacy match")</f>
        <v>138342.64</v>
      </c>
      <c r="G256" s="5" t="n">
        <f aca="false">IFERROR(F256-D256,"N/A")</f>
        <v>0</v>
      </c>
      <c r="H256" s="1" t="str">
        <f aca="false">IF(ISNUMBER(G256),IF(G256=0,"Match","Variance"),"Check")</f>
        <v>Match</v>
      </c>
    </row>
    <row r="257" customFormat="false" ht="15.75" hidden="false" customHeight="true" outlineLevel="0" collapsed="false">
      <c r="B257" s="2" t="s">
        <v>88</v>
      </c>
      <c r="C257" s="2" t="s">
        <v>89</v>
      </c>
      <c r="D257" s="4" t="n">
        <v>131508</v>
      </c>
      <c r="E257" s="1" t="str">
        <f aca="false">B257&amp;C257</f>
        <v>3440601053</v>
      </c>
      <c r="F257" s="5" t="n">
        <f aca="false">IFERROR(VLOOKUP(E257,'Legacy Data'!$C$2:$D$1702,2,FALSE()),"No legacy match")</f>
        <v>131508</v>
      </c>
      <c r="G257" s="5" t="n">
        <f aca="false">IFERROR(F257-D257,"N/A")</f>
        <v>0</v>
      </c>
      <c r="H257" s="1" t="str">
        <f aca="false">IF(ISNUMBER(G257),IF(G257=0,"Match","Variance"),"Check")</f>
        <v>Match</v>
      </c>
    </row>
    <row r="258" customFormat="false" ht="15.75" hidden="false" customHeight="true" outlineLevel="0" collapsed="false">
      <c r="B258" s="2" t="s">
        <v>88</v>
      </c>
      <c r="C258" s="2" t="s">
        <v>90</v>
      </c>
      <c r="D258" s="4" t="n">
        <v>216724.64</v>
      </c>
      <c r="E258" s="1" t="str">
        <f aca="false">B258&amp;C258</f>
        <v>3440601054</v>
      </c>
      <c r="F258" s="5" t="n">
        <f aca="false">IFERROR(VLOOKUP(E258,'Legacy Data'!$C$2:$D$1702,2,FALSE()),"No legacy match")</f>
        <v>216724.64</v>
      </c>
      <c r="G258" s="5" t="n">
        <f aca="false">IFERROR(F258-D258,"N/A")</f>
        <v>0</v>
      </c>
      <c r="H258" s="1" t="str">
        <f aca="false">IF(ISNUMBER(G258),IF(G258=0,"Match","Variance"),"Check")</f>
        <v>Match</v>
      </c>
    </row>
    <row r="259" customFormat="false" ht="15.75" hidden="false" customHeight="true" outlineLevel="0" collapsed="false">
      <c r="B259" s="2" t="s">
        <v>88</v>
      </c>
      <c r="C259" s="2" t="s">
        <v>8</v>
      </c>
      <c r="D259" s="4" t="n">
        <v>719118.52</v>
      </c>
      <c r="E259" s="1" t="str">
        <f aca="false">B259&amp;C259</f>
        <v>3440602000</v>
      </c>
      <c r="F259" s="5" t="n">
        <f aca="false">IFERROR(VLOOKUP(E259,'Legacy Data'!$C$2:$D$1702,2,FALSE()),"No legacy match")</f>
        <v>719118.52</v>
      </c>
      <c r="G259" s="5" t="n">
        <f aca="false">IFERROR(F259-D259,"N/A")</f>
        <v>0</v>
      </c>
      <c r="H259" s="1" t="str">
        <f aca="false">IF(ISNUMBER(G259),IF(G259=0,"Match","Variance"),"Check")</f>
        <v>Match</v>
      </c>
    </row>
    <row r="260" customFormat="false" ht="15.75" hidden="false" customHeight="true" outlineLevel="0" collapsed="false">
      <c r="B260" s="2" t="s">
        <v>88</v>
      </c>
      <c r="C260" s="2" t="s">
        <v>10</v>
      </c>
      <c r="D260" s="4" t="n">
        <v>13336.11</v>
      </c>
      <c r="E260" s="1" t="str">
        <f aca="false">B260&amp;C260</f>
        <v>3440602004</v>
      </c>
      <c r="F260" s="5" t="n">
        <f aca="false">IFERROR(VLOOKUP(E260,'Legacy Data'!$C$2:$D$1702,2,FALSE()),"No legacy match")</f>
        <v>13336.11</v>
      </c>
      <c r="G260" s="5" t="n">
        <f aca="false">IFERROR(F260-D260,"N/A")</f>
        <v>0</v>
      </c>
      <c r="H260" s="1" t="str">
        <f aca="false">IF(ISNUMBER(G260),IF(G260=0,"Match","Variance"),"Check")</f>
        <v>Match</v>
      </c>
    </row>
    <row r="261" customFormat="false" ht="15.75" hidden="false" customHeight="true" outlineLevel="0" collapsed="false">
      <c r="B261" s="2" t="s">
        <v>88</v>
      </c>
      <c r="C261" s="2" t="s">
        <v>12</v>
      </c>
      <c r="D261" s="4" t="n">
        <v>69289.88</v>
      </c>
      <c r="E261" s="1" t="str">
        <f aca="false">B261&amp;C261</f>
        <v>3440602010</v>
      </c>
      <c r="F261" s="5" t="n">
        <f aca="false">IFERROR(VLOOKUP(E261,'Legacy Data'!$C$2:$D$1702,2,FALSE()),"No legacy match")</f>
        <v>69289.88</v>
      </c>
      <c r="G261" s="5" t="n">
        <f aca="false">IFERROR(F261-D261,"N/A")</f>
        <v>0</v>
      </c>
      <c r="H261" s="1" t="str">
        <f aca="false">IF(ISNUMBER(G261),IF(G261=0,"Match","Variance"),"Check")</f>
        <v>Match</v>
      </c>
    </row>
    <row r="262" customFormat="false" ht="15.75" hidden="false" customHeight="true" outlineLevel="0" collapsed="false">
      <c r="B262" s="2" t="s">
        <v>88</v>
      </c>
      <c r="C262" s="2" t="s">
        <v>13</v>
      </c>
      <c r="D262" s="4" t="n">
        <v>14283.01</v>
      </c>
      <c r="E262" s="1" t="str">
        <f aca="false">B262&amp;C262</f>
        <v>3440602020</v>
      </c>
      <c r="F262" s="5" t="n">
        <f aca="false">IFERROR(VLOOKUP(E262,'Legacy Data'!$C$2:$D$1702,2,FALSE()),"No legacy match")</f>
        <v>14283.01</v>
      </c>
      <c r="G262" s="5" t="n">
        <f aca="false">IFERROR(F262-D262,"N/A")</f>
        <v>0</v>
      </c>
      <c r="H262" s="1" t="str">
        <f aca="false">IF(ISNUMBER(G262),IF(G262=0,"Match","Variance"),"Check")</f>
        <v>Match</v>
      </c>
    </row>
    <row r="263" customFormat="false" ht="15.75" hidden="false" customHeight="true" outlineLevel="0" collapsed="false">
      <c r="B263" s="2" t="s">
        <v>88</v>
      </c>
      <c r="C263" s="2" t="s">
        <v>14</v>
      </c>
      <c r="D263" s="4" t="n">
        <v>15032.32</v>
      </c>
      <c r="E263" s="1" t="str">
        <f aca="false">B263&amp;C263</f>
        <v>3440602030</v>
      </c>
      <c r="F263" s="5" t="n">
        <f aca="false">IFERROR(VLOOKUP(E263,'Legacy Data'!$C$2:$D$1702,2,FALSE()),"No legacy match")</f>
        <v>15032.32</v>
      </c>
      <c r="G263" s="5" t="n">
        <f aca="false">IFERROR(F263-D263,"N/A")</f>
        <v>0</v>
      </c>
      <c r="H263" s="1" t="str">
        <f aca="false">IF(ISNUMBER(G263),IF(G263=0,"Match","Variance"),"Check")</f>
        <v>Match</v>
      </c>
    </row>
    <row r="264" customFormat="false" ht="15.75" hidden="false" customHeight="true" outlineLevel="0" collapsed="false">
      <c r="B264" s="2" t="s">
        <v>88</v>
      </c>
      <c r="C264" s="2" t="s">
        <v>15</v>
      </c>
      <c r="D264" s="4" t="n">
        <v>-5996.86</v>
      </c>
      <c r="E264" s="1" t="str">
        <f aca="false">B264&amp;C264</f>
        <v>3440602070</v>
      </c>
      <c r="F264" s="5" t="n">
        <f aca="false">IFERROR(VLOOKUP(E264,'Legacy Data'!$C$2:$D$1702,2,FALSE()),"No legacy match")</f>
        <v>-5996.86</v>
      </c>
      <c r="G264" s="5" t="n">
        <f aca="false">IFERROR(F264-D264,"N/A")</f>
        <v>0</v>
      </c>
      <c r="H264" s="1" t="str">
        <f aca="false">IF(ISNUMBER(G264),IF(G264=0,"Match","Variance"),"Check")</f>
        <v>Match</v>
      </c>
    </row>
    <row r="265" customFormat="false" ht="15.75" hidden="false" customHeight="true" outlineLevel="0" collapsed="false">
      <c r="B265" s="2" t="s">
        <v>88</v>
      </c>
      <c r="C265" s="2" t="s">
        <v>16</v>
      </c>
      <c r="D265" s="4" t="n">
        <v>41425.41</v>
      </c>
      <c r="E265" s="1" t="str">
        <f aca="false">B265&amp;C265</f>
        <v>3440602072</v>
      </c>
      <c r="F265" s="5" t="n">
        <f aca="false">IFERROR(VLOOKUP(E265,'Legacy Data'!$C$2:$D$1702,2,FALSE()),"No legacy match")</f>
        <v>41425.41</v>
      </c>
      <c r="G265" s="5" t="n">
        <f aca="false">IFERROR(F265-D265,"N/A")</f>
        <v>0</v>
      </c>
      <c r="H265" s="1" t="str">
        <f aca="false">IF(ISNUMBER(G265),IF(G265=0,"Match","Variance"),"Check")</f>
        <v>Match</v>
      </c>
    </row>
    <row r="266" customFormat="false" ht="15.75" hidden="false" customHeight="true" outlineLevel="0" collapsed="false">
      <c r="B266" s="2" t="s">
        <v>88</v>
      </c>
      <c r="C266" s="2" t="s">
        <v>17</v>
      </c>
      <c r="D266" s="4" t="n">
        <v>77664.83</v>
      </c>
      <c r="E266" s="1" t="str">
        <f aca="false">B266&amp;C266</f>
        <v>3440603000</v>
      </c>
      <c r="F266" s="5" t="n">
        <f aca="false">IFERROR(VLOOKUP(E266,'Legacy Data'!$C$2:$D$1702,2,FALSE()),"No legacy match")</f>
        <v>77664.83</v>
      </c>
      <c r="G266" s="5" t="n">
        <f aca="false">IFERROR(F266-D266,"N/A")</f>
        <v>0</v>
      </c>
      <c r="H266" s="1" t="str">
        <f aca="false">IF(ISNUMBER(G266),IF(G266=0,"Match","Variance"),"Check")</f>
        <v>Match</v>
      </c>
    </row>
    <row r="267" customFormat="false" ht="15.75" hidden="false" customHeight="true" outlineLevel="0" collapsed="false">
      <c r="B267" s="2" t="s">
        <v>88</v>
      </c>
      <c r="C267" s="2" t="s">
        <v>19</v>
      </c>
      <c r="D267" s="4" t="n">
        <v>45041.88</v>
      </c>
      <c r="E267" s="1" t="str">
        <f aca="false">B267&amp;C267</f>
        <v>3440604040</v>
      </c>
      <c r="F267" s="5" t="n">
        <f aca="false">IFERROR(VLOOKUP(E267,'Legacy Data'!$C$2:$D$1702,2,FALSE()),"No legacy match")</f>
        <v>45041.88</v>
      </c>
      <c r="G267" s="5" t="n">
        <f aca="false">IFERROR(F267-D267,"N/A")</f>
        <v>0</v>
      </c>
      <c r="H267" s="1" t="str">
        <f aca="false">IF(ISNUMBER(G267),IF(G267=0,"Match","Variance"),"Check")</f>
        <v>Match</v>
      </c>
    </row>
    <row r="268" customFormat="false" ht="15.75" hidden="false" customHeight="true" outlineLevel="0" collapsed="false">
      <c r="B268" s="2" t="s">
        <v>88</v>
      </c>
      <c r="C268" s="2" t="s">
        <v>22</v>
      </c>
      <c r="D268" s="4" t="n">
        <v>73509.36</v>
      </c>
      <c r="E268" s="1" t="str">
        <f aca="false">B268&amp;C268</f>
        <v>3440604010</v>
      </c>
      <c r="F268" s="5" t="n">
        <f aca="false">IFERROR(VLOOKUP(E268,'Legacy Data'!$C$2:$D$1702,2,FALSE()),"No legacy match")</f>
        <v>73509.36</v>
      </c>
      <c r="G268" s="5" t="n">
        <f aca="false">IFERROR(F268-D268,"N/A")</f>
        <v>0</v>
      </c>
      <c r="H268" s="1" t="str">
        <f aca="false">IF(ISNUMBER(G268),IF(G268=0,"Match","Variance"),"Check")</f>
        <v>Match</v>
      </c>
    </row>
    <row r="269" customFormat="false" ht="15.75" hidden="false" customHeight="true" outlineLevel="0" collapsed="false">
      <c r="B269" s="2" t="s">
        <v>88</v>
      </c>
      <c r="C269" s="2" t="s">
        <v>23</v>
      </c>
      <c r="D269" s="4" t="n">
        <v>253414</v>
      </c>
      <c r="E269" s="1" t="str">
        <f aca="false">B269&amp;C269</f>
        <v>3440608020</v>
      </c>
      <c r="F269" s="5" t="n">
        <f aca="false">IFERROR(VLOOKUP(E269,'Legacy Data'!$C$2:$D$1702,2,FALSE()),"No legacy match")</f>
        <v>253414</v>
      </c>
      <c r="G269" s="5" t="n">
        <f aca="false">IFERROR(F269-D269,"N/A")</f>
        <v>0</v>
      </c>
      <c r="H269" s="1" t="str">
        <f aca="false">IF(ISNUMBER(G269),IF(G269=0,"Match","Variance"),"Check")</f>
        <v>Match</v>
      </c>
    </row>
    <row r="270" customFormat="false" ht="15.75" hidden="false" customHeight="true" outlineLevel="0" collapsed="false">
      <c r="B270" s="2" t="s">
        <v>88</v>
      </c>
      <c r="C270" s="2" t="s">
        <v>60</v>
      </c>
      <c r="D270" s="4" t="n">
        <v>122.63</v>
      </c>
      <c r="E270" s="1" t="str">
        <f aca="false">B270&amp;C270</f>
        <v>3440608040</v>
      </c>
      <c r="F270" s="5" t="n">
        <f aca="false">IFERROR(VLOOKUP(E270,'Legacy Data'!$C$2:$D$1702,2,FALSE()),"No legacy match")</f>
        <v>122.63</v>
      </c>
      <c r="G270" s="5" t="n">
        <f aca="false">IFERROR(F270-D270,"N/A")</f>
        <v>0</v>
      </c>
      <c r="H270" s="1" t="str">
        <f aca="false">IF(ISNUMBER(G270),IF(G270=0,"Match","Variance"),"Check")</f>
        <v>Match</v>
      </c>
    </row>
    <row r="271" customFormat="false" ht="15.75" hidden="false" customHeight="true" outlineLevel="0" collapsed="false">
      <c r="B271" s="2" t="s">
        <v>88</v>
      </c>
      <c r="C271" s="2" t="s">
        <v>24</v>
      </c>
      <c r="D271" s="4" t="n">
        <v>73939.2</v>
      </c>
      <c r="E271" s="1" t="str">
        <f aca="false">B271&amp;C271</f>
        <v>3440609004</v>
      </c>
      <c r="F271" s="5" t="n">
        <f aca="false">IFERROR(VLOOKUP(E271,'Legacy Data'!$C$2:$D$1702,2,FALSE()),"No legacy match")</f>
        <v>73939.2</v>
      </c>
      <c r="G271" s="5" t="n">
        <f aca="false">IFERROR(F271-D271,"N/A")</f>
        <v>0</v>
      </c>
      <c r="H271" s="1" t="str">
        <f aca="false">IF(ISNUMBER(G271),IF(G271=0,"Match","Variance"),"Check")</f>
        <v>Match</v>
      </c>
    </row>
    <row r="272" customFormat="false" ht="15.75" hidden="false" customHeight="true" outlineLevel="0" collapsed="false">
      <c r="B272" s="2" t="s">
        <v>88</v>
      </c>
      <c r="C272" s="2" t="s">
        <v>37</v>
      </c>
      <c r="D272" s="4" t="n">
        <v>6661.18</v>
      </c>
      <c r="E272" s="1" t="str">
        <f aca="false">B272&amp;C272</f>
        <v>3440609008</v>
      </c>
      <c r="F272" s="5" t="n">
        <f aca="false">IFERROR(VLOOKUP(E272,'Legacy Data'!$C$2:$D$1702,2,FALSE()),"No legacy match")</f>
        <v>6661.18</v>
      </c>
      <c r="G272" s="5" t="n">
        <f aca="false">IFERROR(F272-D272,"N/A")</f>
        <v>0</v>
      </c>
      <c r="H272" s="1" t="str">
        <f aca="false">IF(ISNUMBER(G272),IF(G272=0,"Match","Variance"),"Check")</f>
        <v>Match</v>
      </c>
    </row>
    <row r="273" customFormat="false" ht="15.75" hidden="false" customHeight="true" outlineLevel="0" collapsed="false">
      <c r="B273" s="2" t="s">
        <v>88</v>
      </c>
      <c r="C273" s="2" t="s">
        <v>62</v>
      </c>
      <c r="D273" s="4" t="n">
        <v>17543.95</v>
      </c>
      <c r="E273" s="1" t="str">
        <f aca="false">B273&amp;C273</f>
        <v>3440606040</v>
      </c>
      <c r="F273" s="5" t="n">
        <f aca="false">IFERROR(VLOOKUP(E273,'Legacy Data'!$C$2:$D$1702,2,FALSE()),"No legacy match")</f>
        <v>17543.95</v>
      </c>
      <c r="G273" s="5" t="n">
        <f aca="false">IFERROR(F273-D273,"N/A")</f>
        <v>0</v>
      </c>
      <c r="H273" s="1" t="str">
        <f aca="false">IF(ISNUMBER(G273),IF(G273=0,"Match","Variance"),"Check")</f>
        <v>Match</v>
      </c>
    </row>
    <row r="274" customFormat="false" ht="15.75" hidden="false" customHeight="true" outlineLevel="0" collapsed="false">
      <c r="B274" s="2" t="s">
        <v>88</v>
      </c>
      <c r="C274" s="2" t="s">
        <v>26</v>
      </c>
      <c r="D274" s="4" t="n">
        <v>12533.55</v>
      </c>
      <c r="E274" s="1" t="str">
        <f aca="false">B274&amp;C274</f>
        <v>3440609006</v>
      </c>
      <c r="F274" s="5" t="n">
        <f aca="false">IFERROR(VLOOKUP(E274,'Legacy Data'!$C$2:$D$1702,2,FALSE()),"No legacy match")</f>
        <v>12533.55</v>
      </c>
      <c r="G274" s="5" t="n">
        <f aca="false">IFERROR(F274-D274,"N/A")</f>
        <v>0</v>
      </c>
      <c r="H274" s="1" t="str">
        <f aca="false">IF(ISNUMBER(G274),IF(G274=0,"Match","Variance"),"Check")</f>
        <v>Match</v>
      </c>
    </row>
    <row r="275" customFormat="false" ht="15.75" hidden="false" customHeight="true" outlineLevel="0" collapsed="false">
      <c r="B275" s="2" t="s">
        <v>88</v>
      </c>
      <c r="C275" s="2" t="s">
        <v>27</v>
      </c>
      <c r="D275" s="4" t="n">
        <v>8357.72</v>
      </c>
      <c r="E275" s="1" t="str">
        <f aca="false">B275&amp;C275</f>
        <v>3440609002</v>
      </c>
      <c r="F275" s="5" t="n">
        <f aca="false">IFERROR(VLOOKUP(E275,'Legacy Data'!$C$2:$D$1702,2,FALSE()),"No legacy match")</f>
        <v>8357.72</v>
      </c>
      <c r="G275" s="5" t="n">
        <f aca="false">IFERROR(F275-D275,"N/A")</f>
        <v>0</v>
      </c>
      <c r="H275" s="1" t="str">
        <f aca="false">IF(ISNUMBER(G275),IF(G275=0,"Match","Variance"),"Check")</f>
        <v>Match</v>
      </c>
    </row>
    <row r="276" customFormat="false" ht="15.75" hidden="false" customHeight="true" outlineLevel="0" collapsed="false">
      <c r="B276" s="2" t="s">
        <v>88</v>
      </c>
      <c r="C276" s="2" t="s">
        <v>28</v>
      </c>
      <c r="D276" s="4" t="n">
        <v>515.46</v>
      </c>
      <c r="E276" s="1" t="str">
        <f aca="false">B276&amp;C276</f>
        <v>3440609003</v>
      </c>
      <c r="F276" s="5" t="n">
        <f aca="false">IFERROR(VLOOKUP(E276,'Legacy Data'!$C$2:$D$1702,2,FALSE()),"No legacy match")</f>
        <v>515.46</v>
      </c>
      <c r="G276" s="5" t="n">
        <f aca="false">IFERROR(F276-D276,"N/A")</f>
        <v>0</v>
      </c>
      <c r="H276" s="1" t="str">
        <f aca="false">IF(ISNUMBER(G276),IF(G276=0,"Match","Variance"),"Check")</f>
        <v>Match</v>
      </c>
    </row>
    <row r="277" customFormat="false" ht="15.75" hidden="false" customHeight="true" outlineLevel="0" collapsed="false">
      <c r="B277" s="2" t="s">
        <v>88</v>
      </c>
      <c r="C277" s="2" t="s">
        <v>29</v>
      </c>
      <c r="D277" s="4" t="n">
        <v>3580.87</v>
      </c>
      <c r="E277" s="1" t="str">
        <f aca="false">B277&amp;C277</f>
        <v>3440609009</v>
      </c>
      <c r="F277" s="5" t="n">
        <f aca="false">IFERROR(VLOOKUP(E277,'Legacy Data'!$C$2:$D$1702,2,FALSE()),"No legacy match")</f>
        <v>3580.87</v>
      </c>
      <c r="G277" s="5" t="n">
        <f aca="false">IFERROR(F277-D277,"N/A")</f>
        <v>0</v>
      </c>
      <c r="H277" s="1" t="str">
        <f aca="false">IF(ISNUMBER(G277),IF(G277=0,"Match","Variance"),"Check")</f>
        <v>Match</v>
      </c>
    </row>
    <row r="278" customFormat="false" ht="15.75" hidden="false" customHeight="true" outlineLevel="0" collapsed="false">
      <c r="B278" s="2" t="s">
        <v>88</v>
      </c>
      <c r="C278" s="2" t="s">
        <v>30</v>
      </c>
      <c r="D278" s="4" t="n">
        <v>3121.34</v>
      </c>
      <c r="E278" s="1" t="str">
        <f aca="false">B278&amp;C278</f>
        <v>3440609010</v>
      </c>
      <c r="F278" s="5" t="n">
        <f aca="false">IFERROR(VLOOKUP(E278,'Legacy Data'!$C$2:$D$1702,2,FALSE()),"No legacy match")</f>
        <v>3121.34</v>
      </c>
      <c r="G278" s="5" t="n">
        <f aca="false">IFERROR(F278-D278,"N/A")</f>
        <v>0</v>
      </c>
      <c r="H278" s="1" t="str">
        <f aca="false">IF(ISNUMBER(G278),IF(G278=0,"Match","Variance"),"Check")</f>
        <v>Match</v>
      </c>
    </row>
    <row r="279" customFormat="false" ht="15.75" hidden="false" customHeight="true" outlineLevel="0" collapsed="false">
      <c r="B279" s="2" t="s">
        <v>88</v>
      </c>
      <c r="C279" s="2" t="s">
        <v>31</v>
      </c>
      <c r="D279" s="4" t="n">
        <v>2971.83</v>
      </c>
      <c r="E279" s="1" t="str">
        <f aca="false">B279&amp;C279</f>
        <v>3440607000</v>
      </c>
      <c r="F279" s="5" t="n">
        <f aca="false">IFERROR(VLOOKUP(E279,'Legacy Data'!$C$2:$D$1702,2,FALSE()),"No legacy match")</f>
        <v>2971.83</v>
      </c>
      <c r="G279" s="5" t="n">
        <f aca="false">IFERROR(F279-D279,"N/A")</f>
        <v>0</v>
      </c>
      <c r="H279" s="1" t="str">
        <f aca="false">IF(ISNUMBER(G279),IF(G279=0,"Match","Variance"),"Check")</f>
        <v>Match</v>
      </c>
    </row>
    <row r="280" customFormat="false" ht="15.75" hidden="false" customHeight="true" outlineLevel="0" collapsed="false">
      <c r="B280" s="2" t="s">
        <v>88</v>
      </c>
      <c r="C280" s="2" t="s">
        <v>32</v>
      </c>
      <c r="D280" s="4" t="n">
        <v>60</v>
      </c>
      <c r="E280" s="1" t="str">
        <f aca="false">B280&amp;C280</f>
        <v>3440607010</v>
      </c>
      <c r="F280" s="5" t="n">
        <f aca="false">IFERROR(VLOOKUP(E280,'Legacy Data'!$C$2:$D$1702,2,FALSE()),"No legacy match")</f>
        <v>60</v>
      </c>
      <c r="G280" s="5" t="n">
        <f aca="false">IFERROR(F280-D280,"N/A")</f>
        <v>0</v>
      </c>
      <c r="H280" s="1" t="str">
        <f aca="false">IF(ISNUMBER(G280),IF(G280=0,"Match","Variance"),"Check")</f>
        <v>Match</v>
      </c>
    </row>
    <row r="281" customFormat="false" ht="15.75" hidden="false" customHeight="true" outlineLevel="0" collapsed="false">
      <c r="B281" s="2" t="s">
        <v>88</v>
      </c>
      <c r="C281" s="2" t="s">
        <v>33</v>
      </c>
      <c r="D281" s="4" t="n">
        <v>0</v>
      </c>
      <c r="E281" s="1" t="str">
        <f aca="false">B281&amp;C281</f>
        <v>3440604031</v>
      </c>
      <c r="F281" s="5" t="n">
        <f aca="false">IFERROR(VLOOKUP(E281,'Legacy Data'!$C$2:$D$1702,2,FALSE()),"No legacy match")</f>
        <v>0</v>
      </c>
      <c r="G281" s="5" t="n">
        <f aca="false">IFERROR(F281-D281,"N/A")</f>
        <v>0</v>
      </c>
      <c r="H281" s="1" t="str">
        <f aca="false">IF(ISNUMBER(G281),IF(G281=0,"Match","Variance"),"Check")</f>
        <v>Match</v>
      </c>
    </row>
    <row r="282" customFormat="false" ht="15.75" hidden="false" customHeight="true" outlineLevel="0" collapsed="false">
      <c r="B282" s="2" t="s">
        <v>91</v>
      </c>
      <c r="C282" s="2" t="s">
        <v>86</v>
      </c>
      <c r="D282" s="4" t="n">
        <v>6994.13</v>
      </c>
      <c r="E282" s="1" t="str">
        <f aca="false">B282&amp;C282</f>
        <v>3470601050</v>
      </c>
      <c r="F282" s="5" t="n">
        <f aca="false">IFERROR(VLOOKUP(E282,'Legacy Data'!$C$2:$D$1702,2,FALSE()),"No legacy match")</f>
        <v>6994.13</v>
      </c>
      <c r="G282" s="5" t="n">
        <f aca="false">IFERROR(F282-D282,"N/A")</f>
        <v>0</v>
      </c>
      <c r="H282" s="1" t="str">
        <f aca="false">IF(ISNUMBER(G282),IF(G282=0,"Match","Variance"),"Check")</f>
        <v>Match</v>
      </c>
    </row>
    <row r="283" customFormat="false" ht="15.75" hidden="false" customHeight="true" outlineLevel="0" collapsed="false">
      <c r="B283" s="2" t="s">
        <v>91</v>
      </c>
      <c r="C283" s="2" t="s">
        <v>8</v>
      </c>
      <c r="D283" s="4" t="n">
        <v>26030553.6</v>
      </c>
      <c r="E283" s="1" t="str">
        <f aca="false">B283&amp;C283</f>
        <v>3470602000</v>
      </c>
      <c r="F283" s="5" t="n">
        <f aca="false">IFERROR(VLOOKUP(E283,'Legacy Data'!$C$2:$D$1702,2,FALSE()),"No legacy match")</f>
        <v>26030553.6</v>
      </c>
      <c r="G283" s="5" t="n">
        <f aca="false">IFERROR(F283-D283,"N/A")</f>
        <v>0</v>
      </c>
      <c r="H283" s="1" t="str">
        <f aca="false">IF(ISNUMBER(G283),IF(G283=0,"Match","Variance"),"Check")</f>
        <v>Match</v>
      </c>
    </row>
    <row r="284" customFormat="false" ht="15.75" hidden="false" customHeight="true" outlineLevel="0" collapsed="false">
      <c r="B284" s="2" t="s">
        <v>91</v>
      </c>
      <c r="C284" s="2" t="s">
        <v>70</v>
      </c>
      <c r="D284" s="4" t="n">
        <v>185842.08</v>
      </c>
      <c r="E284" s="1" t="str">
        <f aca="false">B284&amp;C284</f>
        <v>3470602001</v>
      </c>
      <c r="F284" s="5" t="n">
        <f aca="false">IFERROR(VLOOKUP(E284,'Legacy Data'!$C$2:$D$1702,2,FALSE()),"No legacy match")</f>
        <v>185842.08</v>
      </c>
      <c r="G284" s="5" t="n">
        <f aca="false">IFERROR(F284-D284,"N/A")</f>
        <v>0</v>
      </c>
      <c r="H284" s="1" t="str">
        <f aca="false">IF(ISNUMBER(G284),IF(G284=0,"Match","Variance"),"Check")</f>
        <v>Match</v>
      </c>
    </row>
    <row r="285" customFormat="false" ht="15.75" hidden="false" customHeight="true" outlineLevel="0" collapsed="false">
      <c r="B285" s="2" t="s">
        <v>91</v>
      </c>
      <c r="C285" s="2" t="s">
        <v>41</v>
      </c>
      <c r="D285" s="4" t="n">
        <v>1040</v>
      </c>
      <c r="E285" s="1" t="str">
        <f aca="false">B285&amp;C285</f>
        <v>3470602002</v>
      </c>
      <c r="F285" s="5" t="n">
        <f aca="false">IFERROR(VLOOKUP(E285,'Legacy Data'!$C$2:$D$1702,2,FALSE()),"No legacy match")</f>
        <v>1040</v>
      </c>
      <c r="G285" s="5" t="n">
        <f aca="false">IFERROR(F285-D285,"N/A")</f>
        <v>0</v>
      </c>
      <c r="H285" s="1" t="str">
        <f aca="false">IF(ISNUMBER(G285),IF(G285=0,"Match","Variance"),"Check")</f>
        <v>Match</v>
      </c>
    </row>
    <row r="286" customFormat="false" ht="15.75" hidden="false" customHeight="true" outlineLevel="0" collapsed="false">
      <c r="B286" s="2" t="s">
        <v>91</v>
      </c>
      <c r="C286" s="2" t="s">
        <v>9</v>
      </c>
      <c r="D286" s="4" t="n">
        <v>18958.97</v>
      </c>
      <c r="E286" s="1" t="str">
        <f aca="false">B286&amp;C286</f>
        <v>3470602003</v>
      </c>
      <c r="F286" s="5" t="n">
        <f aca="false">IFERROR(VLOOKUP(E286,'Legacy Data'!$C$2:$D$1702,2,FALSE()),"No legacy match")</f>
        <v>18958.97</v>
      </c>
      <c r="G286" s="5" t="n">
        <f aca="false">IFERROR(F286-D286,"N/A")</f>
        <v>0</v>
      </c>
      <c r="H286" s="1" t="str">
        <f aca="false">IF(ISNUMBER(G286),IF(G286=0,"Match","Variance"),"Check")</f>
        <v>Match</v>
      </c>
    </row>
    <row r="287" customFormat="false" ht="15.75" hidden="false" customHeight="true" outlineLevel="0" collapsed="false">
      <c r="B287" s="2" t="s">
        <v>91</v>
      </c>
      <c r="C287" s="2" t="s">
        <v>10</v>
      </c>
      <c r="D287" s="4" t="n">
        <v>7776.14</v>
      </c>
      <c r="E287" s="1" t="str">
        <f aca="false">B287&amp;C287</f>
        <v>3470602004</v>
      </c>
      <c r="F287" s="5" t="n">
        <f aca="false">IFERROR(VLOOKUP(E287,'Legacy Data'!$C$2:$D$1702,2,FALSE()),"No legacy match")</f>
        <v>7776.14</v>
      </c>
      <c r="G287" s="5" t="n">
        <f aca="false">IFERROR(F287-D287,"N/A")</f>
        <v>0</v>
      </c>
      <c r="H287" s="1" t="str">
        <f aca="false">IF(ISNUMBER(G287),IF(G287=0,"Match","Variance"),"Check")</f>
        <v>Match</v>
      </c>
    </row>
    <row r="288" customFormat="false" ht="15.75" hidden="false" customHeight="true" outlineLevel="0" collapsed="false">
      <c r="B288" s="2" t="s">
        <v>91</v>
      </c>
      <c r="C288" s="2" t="s">
        <v>12</v>
      </c>
      <c r="D288" s="4" t="n">
        <v>2250490.74</v>
      </c>
      <c r="E288" s="1" t="str">
        <f aca="false">B288&amp;C288</f>
        <v>3470602010</v>
      </c>
      <c r="F288" s="5" t="n">
        <f aca="false">IFERROR(VLOOKUP(E288,'Legacy Data'!$C$2:$D$1702,2,FALSE()),"No legacy match")</f>
        <v>2250490.74</v>
      </c>
      <c r="G288" s="5" t="n">
        <f aca="false">IFERROR(F288-D288,"N/A")</f>
        <v>0</v>
      </c>
      <c r="H288" s="1" t="str">
        <f aca="false">IF(ISNUMBER(G288),IF(G288=0,"Match","Variance"),"Check")</f>
        <v>Match</v>
      </c>
    </row>
    <row r="289" customFormat="false" ht="15.75" hidden="false" customHeight="true" outlineLevel="0" collapsed="false">
      <c r="B289" s="2" t="s">
        <v>91</v>
      </c>
      <c r="C289" s="2" t="s">
        <v>13</v>
      </c>
      <c r="D289" s="4" t="n">
        <v>636982.37</v>
      </c>
      <c r="E289" s="1" t="str">
        <f aca="false">B289&amp;C289</f>
        <v>3470602020</v>
      </c>
      <c r="F289" s="5" t="n">
        <f aca="false">IFERROR(VLOOKUP(E289,'Legacy Data'!$C$2:$D$1702,2,FALSE()),"No legacy match")</f>
        <v>636982.37</v>
      </c>
      <c r="G289" s="5" t="n">
        <f aca="false">IFERROR(F289-D289,"N/A")</f>
        <v>0</v>
      </c>
      <c r="H289" s="1" t="str">
        <f aca="false">IF(ISNUMBER(G289),IF(G289=0,"Match","Variance"),"Check")</f>
        <v>Match</v>
      </c>
    </row>
    <row r="290" customFormat="false" ht="15.75" hidden="false" customHeight="true" outlineLevel="0" collapsed="false">
      <c r="B290" s="2" t="s">
        <v>91</v>
      </c>
      <c r="C290" s="2" t="s">
        <v>14</v>
      </c>
      <c r="D290" s="4" t="n">
        <v>382969.67</v>
      </c>
      <c r="E290" s="1" t="str">
        <f aca="false">B290&amp;C290</f>
        <v>3470602030</v>
      </c>
      <c r="F290" s="5" t="n">
        <f aca="false">IFERROR(VLOOKUP(E290,'Legacy Data'!$C$2:$D$1702,2,FALSE()),"No legacy match")</f>
        <v>382969.67</v>
      </c>
      <c r="G290" s="5" t="n">
        <f aca="false">IFERROR(F290-D290,"N/A")</f>
        <v>0</v>
      </c>
      <c r="H290" s="1" t="str">
        <f aca="false">IF(ISNUMBER(G290),IF(G290=0,"Match","Variance"),"Check")</f>
        <v>Match</v>
      </c>
    </row>
    <row r="291" customFormat="false" ht="15.75" hidden="false" customHeight="true" outlineLevel="0" collapsed="false">
      <c r="B291" s="2" t="s">
        <v>91</v>
      </c>
      <c r="C291" s="2" t="s">
        <v>42</v>
      </c>
      <c r="D291" s="4" t="n">
        <v>666460.56</v>
      </c>
      <c r="E291" s="1" t="str">
        <f aca="false">B291&amp;C291</f>
        <v>3470602040</v>
      </c>
      <c r="F291" s="5" t="n">
        <f aca="false">IFERROR(VLOOKUP(E291,'Legacy Data'!$C$2:$D$1702,2,FALSE()),"No legacy match")</f>
        <v>666460.56</v>
      </c>
      <c r="G291" s="5" t="n">
        <f aca="false">IFERROR(F291-D291,"N/A")</f>
        <v>0</v>
      </c>
      <c r="H291" s="1" t="str">
        <f aca="false">IF(ISNUMBER(G291),IF(G291=0,"Match","Variance"),"Check")</f>
        <v>Match</v>
      </c>
    </row>
    <row r="292" customFormat="false" ht="15.75" hidden="false" customHeight="true" outlineLevel="0" collapsed="false">
      <c r="B292" s="2" t="s">
        <v>91</v>
      </c>
      <c r="C292" s="2" t="s">
        <v>43</v>
      </c>
      <c r="D292" s="4" t="n">
        <v>52419.61</v>
      </c>
      <c r="E292" s="1" t="str">
        <f aca="false">B292&amp;C292</f>
        <v>3470602050</v>
      </c>
      <c r="F292" s="5" t="n">
        <f aca="false">IFERROR(VLOOKUP(E292,'Legacy Data'!$C$2:$D$1702,2,FALSE()),"No legacy match")</f>
        <v>52419.61</v>
      </c>
      <c r="G292" s="5" t="n">
        <f aca="false">IFERROR(F292-D292,"N/A")</f>
        <v>0</v>
      </c>
      <c r="H292" s="1" t="str">
        <f aca="false">IF(ISNUMBER(G292),IF(G292=0,"Match","Variance"),"Check")</f>
        <v>Match</v>
      </c>
    </row>
    <row r="293" customFormat="false" ht="15.75" hidden="false" customHeight="true" outlineLevel="0" collapsed="false">
      <c r="B293" s="2" t="s">
        <v>91</v>
      </c>
      <c r="C293" s="2" t="s">
        <v>44</v>
      </c>
      <c r="D293" s="4" t="n">
        <v>12567.24</v>
      </c>
      <c r="E293" s="1" t="str">
        <f aca="false">B293&amp;C293</f>
        <v>3470602060</v>
      </c>
      <c r="F293" s="5" t="n">
        <f aca="false">IFERROR(VLOOKUP(E293,'Legacy Data'!$C$2:$D$1702,2,FALSE()),"No legacy match")</f>
        <v>12567.24</v>
      </c>
      <c r="G293" s="5" t="n">
        <f aca="false">IFERROR(F293-D293,"N/A")</f>
        <v>0</v>
      </c>
      <c r="H293" s="1" t="str">
        <f aca="false">IF(ISNUMBER(G293),IF(G293=0,"Match","Variance"),"Check")</f>
        <v>Match</v>
      </c>
    </row>
    <row r="294" customFormat="false" ht="15.75" hidden="false" customHeight="true" outlineLevel="0" collapsed="false">
      <c r="B294" s="2" t="s">
        <v>91</v>
      </c>
      <c r="C294" s="2" t="s">
        <v>15</v>
      </c>
      <c r="D294" s="4" t="n">
        <v>1935009.78</v>
      </c>
      <c r="E294" s="1" t="str">
        <f aca="false">B294&amp;C294</f>
        <v>3470602070</v>
      </c>
      <c r="F294" s="5" t="n">
        <f aca="false">IFERROR(VLOOKUP(E294,'Legacy Data'!$C$2:$D$1702,2,FALSE()),"No legacy match")</f>
        <v>1935009.78</v>
      </c>
      <c r="G294" s="5" t="n">
        <f aca="false">IFERROR(F294-D294,"N/A")</f>
        <v>0</v>
      </c>
      <c r="H294" s="1" t="str">
        <f aca="false">IF(ISNUMBER(G294),IF(G294=0,"Match","Variance"),"Check")</f>
        <v>Match</v>
      </c>
    </row>
    <row r="295" customFormat="false" ht="15.75" hidden="false" customHeight="true" outlineLevel="0" collapsed="false">
      <c r="B295" s="2" t="s">
        <v>91</v>
      </c>
      <c r="C295" s="2" t="s">
        <v>45</v>
      </c>
      <c r="D295" s="4" t="n">
        <v>-24915.8</v>
      </c>
      <c r="E295" s="1" t="str">
        <f aca="false">B295&amp;C295</f>
        <v>3470602071</v>
      </c>
      <c r="F295" s="5" t="n">
        <f aca="false">IFERROR(VLOOKUP(E295,'Legacy Data'!$C$2:$D$1702,2,FALSE()),"No legacy match")</f>
        <v>-24915.8</v>
      </c>
      <c r="G295" s="5" t="n">
        <f aca="false">IFERROR(F295-D295,"N/A")</f>
        <v>0</v>
      </c>
      <c r="H295" s="1" t="str">
        <f aca="false">IF(ISNUMBER(G295),IF(G295=0,"Match","Variance"),"Check")</f>
        <v>Match</v>
      </c>
    </row>
    <row r="296" customFormat="false" ht="15.75" hidden="false" customHeight="true" outlineLevel="0" collapsed="false">
      <c r="B296" s="2" t="s">
        <v>91</v>
      </c>
      <c r="C296" s="2" t="s">
        <v>16</v>
      </c>
      <c r="D296" s="4" t="n">
        <v>1556890.44</v>
      </c>
      <c r="E296" s="1" t="str">
        <f aca="false">B296&amp;C296</f>
        <v>3470602072</v>
      </c>
      <c r="F296" s="5" t="n">
        <f aca="false">IFERROR(VLOOKUP(E296,'Legacy Data'!$C$2:$D$1702,2,FALSE()),"No legacy match")</f>
        <v>1556890.44</v>
      </c>
      <c r="G296" s="5" t="n">
        <f aca="false">IFERROR(F296-D296,"N/A")</f>
        <v>0</v>
      </c>
      <c r="H296" s="1" t="str">
        <f aca="false">IF(ISNUMBER(G296),IF(G296=0,"Match","Variance"),"Check")</f>
        <v>Match</v>
      </c>
    </row>
    <row r="297" customFormat="false" ht="15.75" hidden="false" customHeight="true" outlineLevel="0" collapsed="false">
      <c r="B297" s="2" t="s">
        <v>91</v>
      </c>
      <c r="C297" s="2" t="s">
        <v>46</v>
      </c>
      <c r="D297" s="4" t="n">
        <v>8375.36</v>
      </c>
      <c r="E297" s="1" t="str">
        <f aca="false">B297&amp;C297</f>
        <v>3470602073</v>
      </c>
      <c r="F297" s="5" t="n">
        <f aca="false">IFERROR(VLOOKUP(E297,'Legacy Data'!$C$2:$D$1702,2,FALSE()),"No legacy match")</f>
        <v>8375.36</v>
      </c>
      <c r="G297" s="5" t="n">
        <f aca="false">IFERROR(F297-D297,"N/A")</f>
        <v>0</v>
      </c>
      <c r="H297" s="1" t="str">
        <f aca="false">IF(ISNUMBER(G297),IF(G297=0,"Match","Variance"),"Check")</f>
        <v>Match</v>
      </c>
    </row>
    <row r="298" customFormat="false" ht="15.75" hidden="false" customHeight="true" outlineLevel="0" collapsed="false">
      <c r="B298" s="2" t="s">
        <v>91</v>
      </c>
      <c r="C298" s="2" t="s">
        <v>47</v>
      </c>
      <c r="D298" s="4" t="n">
        <v>81608.55</v>
      </c>
      <c r="E298" s="1" t="str">
        <f aca="false">B298&amp;C298</f>
        <v>3470602074</v>
      </c>
      <c r="F298" s="5" t="n">
        <f aca="false">IFERROR(VLOOKUP(E298,'Legacy Data'!$C$2:$D$1702,2,FALSE()),"No legacy match")</f>
        <v>81608.55</v>
      </c>
      <c r="G298" s="5" t="n">
        <f aca="false">IFERROR(F298-D298,"N/A")</f>
        <v>0</v>
      </c>
      <c r="H298" s="1" t="str">
        <f aca="false">IF(ISNUMBER(G298),IF(G298=0,"Match","Variance"),"Check")</f>
        <v>Match</v>
      </c>
    </row>
    <row r="299" customFormat="false" ht="15.75" hidden="false" customHeight="true" outlineLevel="0" collapsed="false">
      <c r="B299" s="2" t="s">
        <v>91</v>
      </c>
      <c r="C299" s="2" t="s">
        <v>48</v>
      </c>
      <c r="D299" s="4" t="n">
        <v>1150532.72</v>
      </c>
      <c r="E299" s="1" t="str">
        <f aca="false">B299&amp;C299</f>
        <v>3470602080</v>
      </c>
      <c r="F299" s="5" t="n">
        <f aca="false">IFERROR(VLOOKUP(E299,'Legacy Data'!$C$2:$D$1702,2,FALSE()),"No legacy match")</f>
        <v>1150532.72</v>
      </c>
      <c r="G299" s="5" t="n">
        <f aca="false">IFERROR(F299-D299,"N/A")</f>
        <v>0</v>
      </c>
      <c r="H299" s="1" t="str">
        <f aca="false">IF(ISNUMBER(G299),IF(G299=0,"Match","Variance"),"Check")</f>
        <v>Match</v>
      </c>
    </row>
    <row r="300" customFormat="false" ht="15.75" hidden="false" customHeight="true" outlineLevel="0" collapsed="false">
      <c r="B300" s="2" t="s">
        <v>91</v>
      </c>
      <c r="C300" s="2" t="s">
        <v>17</v>
      </c>
      <c r="D300" s="4" t="n">
        <v>2644341.34</v>
      </c>
      <c r="E300" s="1" t="str">
        <f aca="false">B300&amp;C300</f>
        <v>3470603000</v>
      </c>
      <c r="F300" s="5" t="n">
        <f aca="false">IFERROR(VLOOKUP(E300,'Legacy Data'!$C$2:$D$1702,2,FALSE()),"No legacy match")</f>
        <v>2644341.34</v>
      </c>
      <c r="G300" s="5" t="n">
        <f aca="false">IFERROR(F300-D300,"N/A")</f>
        <v>0</v>
      </c>
      <c r="H300" s="1" t="str">
        <f aca="false">IF(ISNUMBER(G300),IF(G300=0,"Match","Variance"),"Check")</f>
        <v>Match</v>
      </c>
    </row>
    <row r="301" customFormat="false" ht="15.75" hidden="false" customHeight="true" outlineLevel="0" collapsed="false">
      <c r="B301" s="2" t="s">
        <v>91</v>
      </c>
      <c r="C301" s="2" t="s">
        <v>18</v>
      </c>
      <c r="D301" s="4" t="n">
        <v>0</v>
      </c>
      <c r="E301" s="1" t="str">
        <f aca="false">B301&amp;C301</f>
        <v>3470910003</v>
      </c>
      <c r="F301" s="5" t="n">
        <f aca="false">IFERROR(VLOOKUP(E301,'Legacy Data'!$C$2:$D$1702,2,FALSE()),"No legacy match")</f>
        <v>0</v>
      </c>
      <c r="G301" s="5" t="n">
        <f aca="false">IFERROR(F301-D301,"N/A")</f>
        <v>0</v>
      </c>
      <c r="H301" s="1" t="str">
        <f aca="false">IF(ISNUMBER(G301),IF(G301=0,"Match","Variance"),"Check")</f>
        <v>Match</v>
      </c>
    </row>
    <row r="302" customFormat="false" ht="15.75" hidden="false" customHeight="true" outlineLevel="0" collapsed="false">
      <c r="B302" s="2" t="s">
        <v>91</v>
      </c>
      <c r="C302" s="2" t="s">
        <v>49</v>
      </c>
      <c r="D302" s="4" t="n">
        <v>70083.88</v>
      </c>
      <c r="E302" s="1" t="str">
        <f aca="false">B302&amp;C302</f>
        <v>3470604050</v>
      </c>
      <c r="F302" s="5" t="n">
        <f aca="false">IFERROR(VLOOKUP(E302,'Legacy Data'!$C$2:$D$1702,2,FALSE()),"No legacy match")</f>
        <v>70083.88</v>
      </c>
      <c r="G302" s="5" t="n">
        <f aca="false">IFERROR(F302-D302,"N/A")</f>
        <v>0</v>
      </c>
      <c r="H302" s="1" t="str">
        <f aca="false">IF(ISNUMBER(G302),IF(G302=0,"Match","Variance"),"Check")</f>
        <v>Match</v>
      </c>
    </row>
    <row r="303" customFormat="false" ht="15.75" hidden="false" customHeight="true" outlineLevel="0" collapsed="false">
      <c r="B303" s="2" t="s">
        <v>91</v>
      </c>
      <c r="C303" s="2" t="s">
        <v>78</v>
      </c>
      <c r="D303" s="4" t="n">
        <v>31521.07</v>
      </c>
      <c r="E303" s="1" t="str">
        <f aca="false">B303&amp;C303</f>
        <v>3470604000</v>
      </c>
      <c r="F303" s="5" t="n">
        <f aca="false">IFERROR(VLOOKUP(E303,'Legacy Data'!$C$2:$D$1702,2,FALSE()),"No legacy match")</f>
        <v>31521.07</v>
      </c>
      <c r="G303" s="5" t="n">
        <f aca="false">IFERROR(F303-D303,"N/A")</f>
        <v>0</v>
      </c>
      <c r="H303" s="1" t="str">
        <f aca="false">IF(ISNUMBER(G303),IF(G303=0,"Match","Variance"),"Check")</f>
        <v>Match</v>
      </c>
    </row>
    <row r="304" customFormat="false" ht="15.75" hidden="false" customHeight="true" outlineLevel="0" collapsed="false">
      <c r="B304" s="2" t="s">
        <v>91</v>
      </c>
      <c r="C304" s="2" t="s">
        <v>19</v>
      </c>
      <c r="D304" s="4" t="n">
        <v>2284788.59</v>
      </c>
      <c r="E304" s="1" t="str">
        <f aca="false">B304&amp;C304</f>
        <v>3470604040</v>
      </c>
      <c r="F304" s="5" t="n">
        <f aca="false">IFERROR(VLOOKUP(E304,'Legacy Data'!$C$2:$D$1702,2,FALSE()),"No legacy match")</f>
        <v>2284788.59</v>
      </c>
      <c r="G304" s="5" t="n">
        <f aca="false">IFERROR(F304-D304,"N/A")</f>
        <v>0</v>
      </c>
      <c r="H304" s="1" t="str">
        <f aca="false">IF(ISNUMBER(G304),IF(G304=0,"Match","Variance"),"Check")</f>
        <v>Match</v>
      </c>
    </row>
    <row r="305" customFormat="false" ht="15.75" hidden="false" customHeight="true" outlineLevel="0" collapsed="false">
      <c r="B305" s="2" t="s">
        <v>91</v>
      </c>
      <c r="C305" s="2" t="s">
        <v>50</v>
      </c>
      <c r="D305" s="4" t="n">
        <v>-114760</v>
      </c>
      <c r="E305" s="1" t="str">
        <f aca="false">B305&amp;C305</f>
        <v>3470604060</v>
      </c>
      <c r="F305" s="5" t="n">
        <f aca="false">IFERROR(VLOOKUP(E305,'Legacy Data'!$C$2:$D$1702,2,FALSE()),"No legacy match")</f>
        <v>-114760</v>
      </c>
      <c r="G305" s="5" t="n">
        <f aca="false">IFERROR(F305-D305,"N/A")</f>
        <v>0</v>
      </c>
      <c r="H305" s="1" t="str">
        <f aca="false">IF(ISNUMBER(G305),IF(G305=0,"Match","Variance"),"Check")</f>
        <v>Match</v>
      </c>
    </row>
    <row r="306" customFormat="false" ht="15.75" hidden="false" customHeight="true" outlineLevel="0" collapsed="false">
      <c r="B306" s="2" t="s">
        <v>91</v>
      </c>
      <c r="C306" s="2" t="s">
        <v>20</v>
      </c>
      <c r="D306" s="4" t="n">
        <v>0</v>
      </c>
      <c r="E306" s="1" t="str">
        <f aca="false">B306&amp;C306</f>
        <v>3470910001</v>
      </c>
      <c r="F306" s="5" t="n">
        <f aca="false">IFERROR(VLOOKUP(E306,'Legacy Data'!$C$2:$D$1702,2,FALSE()),"No legacy match")</f>
        <v>0</v>
      </c>
      <c r="G306" s="5" t="n">
        <f aca="false">IFERROR(F306-D306,"N/A")</f>
        <v>0</v>
      </c>
      <c r="H306" s="1" t="str">
        <f aca="false">IF(ISNUMBER(G306),IF(G306=0,"Match","Variance"),"Check")</f>
        <v>Match</v>
      </c>
    </row>
    <row r="307" customFormat="false" ht="15.75" hidden="false" customHeight="true" outlineLevel="0" collapsed="false">
      <c r="B307" s="2" t="s">
        <v>91</v>
      </c>
      <c r="C307" s="2" t="s">
        <v>22</v>
      </c>
      <c r="D307" s="4" t="n">
        <v>550196.39</v>
      </c>
      <c r="E307" s="1" t="str">
        <f aca="false">B307&amp;C307</f>
        <v>3470604010</v>
      </c>
      <c r="F307" s="5" t="n">
        <f aca="false">IFERROR(VLOOKUP(E307,'Legacy Data'!$C$2:$D$1702,2,FALSE()),"No legacy match")</f>
        <v>550196.39</v>
      </c>
      <c r="G307" s="5" t="n">
        <f aca="false">IFERROR(F307-D307,"N/A")</f>
        <v>0</v>
      </c>
      <c r="H307" s="1" t="str">
        <f aca="false">IF(ISNUMBER(G307),IF(G307=0,"Match","Variance"),"Check")</f>
        <v>Match</v>
      </c>
    </row>
    <row r="308" customFormat="false" ht="15.75" hidden="false" customHeight="true" outlineLevel="0" collapsed="false">
      <c r="B308" s="2" t="s">
        <v>91</v>
      </c>
      <c r="C308" s="2" t="s">
        <v>51</v>
      </c>
      <c r="D308" s="4" t="n">
        <v>1092365.29</v>
      </c>
      <c r="E308" s="1" t="str">
        <f aca="false">B308&amp;C308</f>
        <v>3470605000</v>
      </c>
      <c r="F308" s="5" t="n">
        <f aca="false">IFERROR(VLOOKUP(E308,'Legacy Data'!$C$2:$D$1702,2,FALSE()),"No legacy match")</f>
        <v>1092365.29</v>
      </c>
      <c r="G308" s="5" t="n">
        <f aca="false">IFERROR(F308-D308,"N/A")</f>
        <v>0</v>
      </c>
      <c r="H308" s="1" t="str">
        <f aca="false">IF(ISNUMBER(G308),IF(G308=0,"Match","Variance"),"Check")</f>
        <v>Match</v>
      </c>
    </row>
    <row r="309" customFormat="false" ht="15.75" hidden="false" customHeight="true" outlineLevel="0" collapsed="false">
      <c r="B309" s="2" t="s">
        <v>91</v>
      </c>
      <c r="C309" s="2" t="s">
        <v>92</v>
      </c>
      <c r="D309" s="4" t="n">
        <v>-6751020.37</v>
      </c>
      <c r="E309" s="1" t="str">
        <f aca="false">B309&amp;C309</f>
        <v>3470605030</v>
      </c>
      <c r="F309" s="5" t="n">
        <f aca="false">IFERROR(VLOOKUP(E309,'Legacy Data'!$C$2:$D$1702,2,FALSE()),"No legacy match")</f>
        <v>-6751020.37</v>
      </c>
      <c r="G309" s="5" t="n">
        <f aca="false">IFERROR(F309-D309,"N/A")</f>
        <v>0</v>
      </c>
      <c r="H309" s="1" t="str">
        <f aca="false">IF(ISNUMBER(G309),IF(G309=0,"Match","Variance"),"Check")</f>
        <v>Match</v>
      </c>
    </row>
    <row r="310" customFormat="false" ht="15.75" hidden="false" customHeight="true" outlineLevel="0" collapsed="false">
      <c r="B310" s="2" t="s">
        <v>91</v>
      </c>
      <c r="C310" s="2" t="s">
        <v>93</v>
      </c>
      <c r="D310" s="4" t="n">
        <v>18108785.12</v>
      </c>
      <c r="E310" s="1" t="str">
        <f aca="false">B310&amp;C310</f>
        <v>3470605031</v>
      </c>
      <c r="F310" s="5" t="n">
        <f aca="false">IFERROR(VLOOKUP(E310,'Legacy Data'!$C$2:$D$1702,2,FALSE()),"No legacy match")</f>
        <v>18108785.12</v>
      </c>
      <c r="G310" s="5" t="n">
        <f aca="false">IFERROR(F310-D310,"N/A")</f>
        <v>0</v>
      </c>
      <c r="H310" s="1" t="str">
        <f aca="false">IF(ISNUMBER(G310),IF(G310=0,"Match","Variance"),"Check")</f>
        <v>Match</v>
      </c>
    </row>
    <row r="311" customFormat="false" ht="15.75" hidden="false" customHeight="true" outlineLevel="0" collapsed="false">
      <c r="B311" s="2" t="s">
        <v>91</v>
      </c>
      <c r="C311" s="2" t="s">
        <v>52</v>
      </c>
      <c r="D311" s="4" t="n">
        <v>440776.97</v>
      </c>
      <c r="E311" s="1" t="str">
        <f aca="false">B311&amp;C311</f>
        <v>3470605010</v>
      </c>
      <c r="F311" s="5" t="n">
        <f aca="false">IFERROR(VLOOKUP(E311,'Legacy Data'!$C$2:$D$1702,2,FALSE()),"No legacy match")</f>
        <v>440776.97</v>
      </c>
      <c r="G311" s="5" t="n">
        <f aca="false">IFERROR(F311-D311,"N/A")</f>
        <v>0</v>
      </c>
      <c r="H311" s="1" t="str">
        <f aca="false">IF(ISNUMBER(G311),IF(G311=0,"Match","Variance"),"Check")</f>
        <v>Match</v>
      </c>
    </row>
    <row r="312" customFormat="false" ht="15.75" hidden="false" customHeight="true" outlineLevel="0" collapsed="false">
      <c r="B312" s="2" t="s">
        <v>91</v>
      </c>
      <c r="C312" s="2" t="s">
        <v>53</v>
      </c>
      <c r="D312" s="4" t="n">
        <v>19654703.9</v>
      </c>
      <c r="E312" s="1" t="str">
        <f aca="false">B312&amp;C312</f>
        <v>3470605020</v>
      </c>
      <c r="F312" s="5" t="n">
        <f aca="false">IFERROR(VLOOKUP(E312,'Legacy Data'!$C$2:$D$1702,2,FALSE()),"No legacy match")</f>
        <v>19654703.9</v>
      </c>
      <c r="G312" s="5" t="n">
        <f aca="false">IFERROR(F312-D312,"N/A")</f>
        <v>0</v>
      </c>
      <c r="H312" s="1" t="str">
        <f aca="false">IF(ISNUMBER(G312),IF(G312=0,"Match","Variance"),"Check")</f>
        <v>Match</v>
      </c>
    </row>
    <row r="313" customFormat="false" ht="15.75" hidden="false" customHeight="true" outlineLevel="0" collapsed="false">
      <c r="B313" s="2" t="s">
        <v>91</v>
      </c>
      <c r="C313" s="2" t="s">
        <v>54</v>
      </c>
      <c r="D313" s="4" t="n">
        <v>115215.47</v>
      </c>
      <c r="E313" s="1" t="str">
        <f aca="false">B313&amp;C313</f>
        <v>3470606000</v>
      </c>
      <c r="F313" s="5" t="n">
        <f aca="false">IFERROR(VLOOKUP(E313,'Legacy Data'!$C$2:$D$1702,2,FALSE()),"No legacy match")</f>
        <v>115215.47</v>
      </c>
      <c r="G313" s="5" t="n">
        <f aca="false">IFERROR(F313-D313,"N/A")</f>
        <v>0</v>
      </c>
      <c r="H313" s="1" t="str">
        <f aca="false">IF(ISNUMBER(G313),IF(G313=0,"Match","Variance"),"Check")</f>
        <v>Match</v>
      </c>
    </row>
    <row r="314" customFormat="false" ht="15.75" hidden="false" customHeight="true" outlineLevel="0" collapsed="false">
      <c r="B314" s="2" t="s">
        <v>91</v>
      </c>
      <c r="C314" s="2" t="s">
        <v>55</v>
      </c>
      <c r="D314" s="4" t="n">
        <v>0</v>
      </c>
      <c r="E314" s="1" t="str">
        <f aca="false">B314&amp;C314</f>
        <v>3470606010</v>
      </c>
      <c r="F314" s="5" t="n">
        <f aca="false">IFERROR(VLOOKUP(E314,'Legacy Data'!$C$2:$D$1702,2,FALSE()),"No legacy match")</f>
        <v>0</v>
      </c>
      <c r="G314" s="5" t="n">
        <f aca="false">IFERROR(F314-D314,"N/A")</f>
        <v>0</v>
      </c>
      <c r="H314" s="1" t="str">
        <f aca="false">IF(ISNUMBER(G314),IF(G314=0,"Match","Variance"),"Check")</f>
        <v>Match</v>
      </c>
    </row>
    <row r="315" customFormat="false" ht="15.75" hidden="false" customHeight="true" outlineLevel="0" collapsed="false">
      <c r="B315" s="2" t="s">
        <v>91</v>
      </c>
      <c r="C315" s="2" t="s">
        <v>56</v>
      </c>
      <c r="D315" s="4" t="n">
        <v>333143.87</v>
      </c>
      <c r="E315" s="1" t="str">
        <f aca="false">B315&amp;C315</f>
        <v>3470606020</v>
      </c>
      <c r="F315" s="5" t="n">
        <f aca="false">IFERROR(VLOOKUP(E315,'Legacy Data'!$C$2:$D$1702,2,FALSE()),"No legacy match")</f>
        <v>333143.87</v>
      </c>
      <c r="G315" s="5" t="n">
        <f aca="false">IFERROR(F315-D315,"N/A")</f>
        <v>0</v>
      </c>
      <c r="H315" s="1" t="str">
        <f aca="false">IF(ISNUMBER(G315),IF(G315=0,"Match","Variance"),"Check")</f>
        <v>Match</v>
      </c>
    </row>
    <row r="316" customFormat="false" ht="15.75" hidden="false" customHeight="true" outlineLevel="0" collapsed="false">
      <c r="B316" s="2" t="s">
        <v>91</v>
      </c>
      <c r="C316" s="2" t="s">
        <v>57</v>
      </c>
      <c r="D316" s="4" t="n">
        <v>647.19</v>
      </c>
      <c r="E316" s="1" t="str">
        <f aca="false">B316&amp;C316</f>
        <v>3470606030</v>
      </c>
      <c r="F316" s="5" t="n">
        <f aca="false">IFERROR(VLOOKUP(E316,'Legacy Data'!$C$2:$D$1702,2,FALSE()),"No legacy match")</f>
        <v>647.19</v>
      </c>
      <c r="G316" s="5" t="n">
        <f aca="false">IFERROR(F316-D316,"N/A")</f>
        <v>0</v>
      </c>
      <c r="H316" s="1" t="str">
        <f aca="false">IF(ISNUMBER(G316),IF(G316=0,"Match","Variance"),"Check")</f>
        <v>Match</v>
      </c>
    </row>
    <row r="317" customFormat="false" ht="15.75" hidden="false" customHeight="true" outlineLevel="0" collapsed="false">
      <c r="B317" s="2" t="s">
        <v>91</v>
      </c>
      <c r="C317" s="2" t="s">
        <v>58</v>
      </c>
      <c r="D317" s="4" t="n">
        <v>359104.8</v>
      </c>
      <c r="E317" s="1" t="str">
        <f aca="false">B317&amp;C317</f>
        <v>3470606031</v>
      </c>
      <c r="F317" s="5" t="n">
        <f aca="false">IFERROR(VLOOKUP(E317,'Legacy Data'!$C$2:$D$1702,2,FALSE()),"No legacy match")</f>
        <v>359104.8</v>
      </c>
      <c r="G317" s="5" t="n">
        <f aca="false">IFERROR(F317-D317,"N/A")</f>
        <v>0</v>
      </c>
      <c r="H317" s="1" t="str">
        <f aca="false">IF(ISNUMBER(G317),IF(G317=0,"Match","Variance"),"Check")</f>
        <v>Match</v>
      </c>
    </row>
    <row r="318" customFormat="false" ht="15.75" hidden="false" customHeight="true" outlineLevel="0" collapsed="false">
      <c r="B318" s="2" t="s">
        <v>91</v>
      </c>
      <c r="C318" s="2" t="s">
        <v>59</v>
      </c>
      <c r="D318" s="4" t="n">
        <v>38101.71</v>
      </c>
      <c r="E318" s="1" t="str">
        <f aca="false">B318&amp;C318</f>
        <v>3470608010</v>
      </c>
      <c r="F318" s="5" t="n">
        <f aca="false">IFERROR(VLOOKUP(E318,'Legacy Data'!$C$2:$D$1702,2,FALSE()),"No legacy match")</f>
        <v>38101.71</v>
      </c>
      <c r="G318" s="5" t="n">
        <f aca="false">IFERROR(F318-D318,"N/A")</f>
        <v>0</v>
      </c>
      <c r="H318" s="1" t="str">
        <f aca="false">IF(ISNUMBER(G318),IF(G318=0,"Match","Variance"),"Check")</f>
        <v>Match</v>
      </c>
    </row>
    <row r="319" customFormat="false" ht="15.75" hidden="false" customHeight="true" outlineLevel="0" collapsed="false">
      <c r="B319" s="2" t="s">
        <v>91</v>
      </c>
      <c r="C319" s="2" t="s">
        <v>23</v>
      </c>
      <c r="D319" s="4" t="n">
        <v>1360838.87</v>
      </c>
      <c r="E319" s="1" t="str">
        <f aca="false">B319&amp;C319</f>
        <v>3470608020</v>
      </c>
      <c r="F319" s="5" t="n">
        <f aca="false">IFERROR(VLOOKUP(E319,'Legacy Data'!$C$2:$D$1702,2,FALSE()),"No legacy match")</f>
        <v>1360838.87</v>
      </c>
      <c r="G319" s="5" t="n">
        <f aca="false">IFERROR(F319-D319,"N/A")</f>
        <v>0</v>
      </c>
      <c r="H319" s="1" t="str">
        <f aca="false">IF(ISNUMBER(G319),IF(G319=0,"Match","Variance"),"Check")</f>
        <v>Match</v>
      </c>
    </row>
    <row r="320" customFormat="false" ht="15.75" hidden="false" customHeight="true" outlineLevel="0" collapsed="false">
      <c r="B320" s="2" t="s">
        <v>91</v>
      </c>
      <c r="C320" s="2" t="s">
        <v>60</v>
      </c>
      <c r="D320" s="4" t="n">
        <v>114406.97</v>
      </c>
      <c r="E320" s="1" t="str">
        <f aca="false">B320&amp;C320</f>
        <v>3470608040</v>
      </c>
      <c r="F320" s="5" t="n">
        <f aca="false">IFERROR(VLOOKUP(E320,'Legacy Data'!$C$2:$D$1702,2,FALSE()),"No legacy match")</f>
        <v>114406.97</v>
      </c>
      <c r="G320" s="5" t="n">
        <f aca="false">IFERROR(F320-D320,"N/A")</f>
        <v>0</v>
      </c>
      <c r="H320" s="1" t="str">
        <f aca="false">IF(ISNUMBER(G320),IF(G320=0,"Match","Variance"),"Check")</f>
        <v>Match</v>
      </c>
    </row>
    <row r="321" customFormat="false" ht="15.75" hidden="false" customHeight="true" outlineLevel="0" collapsed="false">
      <c r="B321" s="2" t="s">
        <v>91</v>
      </c>
      <c r="C321" s="2" t="s">
        <v>61</v>
      </c>
      <c r="D321" s="4" t="n">
        <v>20826.85</v>
      </c>
      <c r="E321" s="1" t="str">
        <f aca="false">B321&amp;C321</f>
        <v>3470608000</v>
      </c>
      <c r="F321" s="5" t="n">
        <f aca="false">IFERROR(VLOOKUP(E321,'Legacy Data'!$C$2:$D$1702,2,FALSE()),"No legacy match")</f>
        <v>20826.85</v>
      </c>
      <c r="G321" s="5" t="n">
        <f aca="false">IFERROR(F321-D321,"N/A")</f>
        <v>0</v>
      </c>
      <c r="H321" s="1" t="str">
        <f aca="false">IF(ISNUMBER(G321),IF(G321=0,"Match","Variance"),"Check")</f>
        <v>Match</v>
      </c>
    </row>
    <row r="322" customFormat="false" ht="15.75" hidden="false" customHeight="true" outlineLevel="0" collapsed="false">
      <c r="B322" s="2" t="s">
        <v>91</v>
      </c>
      <c r="C322" s="2" t="s">
        <v>24</v>
      </c>
      <c r="D322" s="4" t="n">
        <v>317710.66</v>
      </c>
      <c r="E322" s="1" t="str">
        <f aca="false">B322&amp;C322</f>
        <v>3470609004</v>
      </c>
      <c r="F322" s="5" t="n">
        <f aca="false">IFERROR(VLOOKUP(E322,'Legacy Data'!$C$2:$D$1702,2,FALSE()),"No legacy match")</f>
        <v>317710.66</v>
      </c>
      <c r="G322" s="5" t="n">
        <f aca="false">IFERROR(F322-D322,"N/A")</f>
        <v>0</v>
      </c>
      <c r="H322" s="1" t="str">
        <f aca="false">IF(ISNUMBER(G322),IF(G322=0,"Match","Variance"),"Check")</f>
        <v>Match</v>
      </c>
    </row>
    <row r="323" customFormat="false" ht="15.75" hidden="false" customHeight="true" outlineLevel="0" collapsed="false">
      <c r="B323" s="2" t="s">
        <v>91</v>
      </c>
      <c r="C323" s="2" t="s">
        <v>37</v>
      </c>
      <c r="D323" s="4" t="n">
        <v>337411.09</v>
      </c>
      <c r="E323" s="1" t="str">
        <f aca="false">B323&amp;C323</f>
        <v>3470609008</v>
      </c>
      <c r="F323" s="5" t="n">
        <f aca="false">IFERROR(VLOOKUP(E323,'Legacy Data'!$C$2:$D$1702,2,FALSE()),"No legacy match")</f>
        <v>337411.09</v>
      </c>
      <c r="G323" s="5" t="n">
        <f aca="false">IFERROR(F323-D323,"N/A")</f>
        <v>0</v>
      </c>
      <c r="H323" s="1" t="str">
        <f aca="false">IF(ISNUMBER(G323),IF(G323=0,"Match","Variance"),"Check")</f>
        <v>Match</v>
      </c>
    </row>
    <row r="324" customFormat="false" ht="15.75" hidden="false" customHeight="true" outlineLevel="0" collapsed="false">
      <c r="B324" s="2" t="s">
        <v>91</v>
      </c>
      <c r="C324" s="2" t="s">
        <v>25</v>
      </c>
      <c r="D324" s="4" t="n">
        <v>45873.68</v>
      </c>
      <c r="E324" s="1" t="str">
        <f aca="false">B324&amp;C324</f>
        <v>3470609005</v>
      </c>
      <c r="F324" s="5" t="n">
        <f aca="false">IFERROR(VLOOKUP(E324,'Legacy Data'!$C$2:$D$1702,2,FALSE()),"No legacy match")</f>
        <v>45873.68</v>
      </c>
      <c r="G324" s="5" t="n">
        <f aca="false">IFERROR(F324-D324,"N/A")</f>
        <v>0</v>
      </c>
      <c r="H324" s="1" t="str">
        <f aca="false">IF(ISNUMBER(G324),IF(G324=0,"Match","Variance"),"Check")</f>
        <v>Match</v>
      </c>
    </row>
    <row r="325" customFormat="false" ht="15.75" hidden="false" customHeight="true" outlineLevel="0" collapsed="false">
      <c r="B325" s="2" t="s">
        <v>91</v>
      </c>
      <c r="C325" s="2" t="s">
        <v>63</v>
      </c>
      <c r="D325" s="4" t="n">
        <v>489479.7</v>
      </c>
      <c r="E325" s="1" t="str">
        <f aca="false">B325&amp;C325</f>
        <v>3470609000</v>
      </c>
      <c r="F325" s="5" t="n">
        <f aca="false">IFERROR(VLOOKUP(E325,'Legacy Data'!$C$2:$D$1702,2,FALSE()),"No legacy match")</f>
        <v>489479.7</v>
      </c>
      <c r="G325" s="5" t="n">
        <f aca="false">IFERROR(F325-D325,"N/A")</f>
        <v>0</v>
      </c>
      <c r="H325" s="1" t="str">
        <f aca="false">IF(ISNUMBER(G325),IF(G325=0,"Match","Variance"),"Check")</f>
        <v>Match</v>
      </c>
    </row>
    <row r="326" customFormat="false" ht="15.75" hidden="false" customHeight="true" outlineLevel="0" collapsed="false">
      <c r="B326" s="2" t="s">
        <v>91</v>
      </c>
      <c r="C326" s="2" t="s">
        <v>27</v>
      </c>
      <c r="D326" s="4" t="n">
        <v>284727.36</v>
      </c>
      <c r="E326" s="1" t="str">
        <f aca="false">B326&amp;C326</f>
        <v>3470609002</v>
      </c>
      <c r="F326" s="5" t="n">
        <f aca="false">IFERROR(VLOOKUP(E326,'Legacy Data'!$C$2:$D$1702,2,FALSE()),"No legacy match")</f>
        <v>284727.36</v>
      </c>
      <c r="G326" s="5" t="n">
        <f aca="false">IFERROR(F326-D326,"N/A")</f>
        <v>0</v>
      </c>
      <c r="H326" s="1" t="str">
        <f aca="false">IF(ISNUMBER(G326),IF(G326=0,"Match","Variance"),"Check")</f>
        <v>Match</v>
      </c>
    </row>
    <row r="327" customFormat="false" ht="15.75" hidden="false" customHeight="true" outlineLevel="0" collapsed="false">
      <c r="B327" s="2" t="s">
        <v>91</v>
      </c>
      <c r="C327" s="2" t="s">
        <v>28</v>
      </c>
      <c r="D327" s="4" t="n">
        <v>105372.2</v>
      </c>
      <c r="E327" s="1" t="str">
        <f aca="false">B327&amp;C327</f>
        <v>3470609003</v>
      </c>
      <c r="F327" s="5" t="n">
        <f aca="false">IFERROR(VLOOKUP(E327,'Legacy Data'!$C$2:$D$1702,2,FALSE()),"No legacy match")</f>
        <v>105372.2</v>
      </c>
      <c r="G327" s="5" t="n">
        <f aca="false">IFERROR(F327-D327,"N/A")</f>
        <v>0</v>
      </c>
      <c r="H327" s="1" t="str">
        <f aca="false">IF(ISNUMBER(G327),IF(G327=0,"Match","Variance"),"Check")</f>
        <v>Match</v>
      </c>
    </row>
    <row r="328" customFormat="false" ht="15.75" hidden="false" customHeight="true" outlineLevel="0" collapsed="false">
      <c r="B328" s="2" t="s">
        <v>91</v>
      </c>
      <c r="C328" s="2" t="s">
        <v>29</v>
      </c>
      <c r="D328" s="4" t="n">
        <v>124358.35</v>
      </c>
      <c r="E328" s="1" t="str">
        <f aca="false">B328&amp;C328</f>
        <v>3470609009</v>
      </c>
      <c r="F328" s="5" t="n">
        <f aca="false">IFERROR(VLOOKUP(E328,'Legacy Data'!$C$2:$D$1702,2,FALSE()),"No legacy match")</f>
        <v>124358.35</v>
      </c>
      <c r="G328" s="5" t="n">
        <f aca="false">IFERROR(F328-D328,"N/A")</f>
        <v>0</v>
      </c>
      <c r="H328" s="1" t="str">
        <f aca="false">IF(ISNUMBER(G328),IF(G328=0,"Match","Variance"),"Check")</f>
        <v>Match</v>
      </c>
    </row>
    <row r="329" customFormat="false" ht="15.75" hidden="false" customHeight="true" outlineLevel="0" collapsed="false">
      <c r="B329" s="2" t="s">
        <v>91</v>
      </c>
      <c r="C329" s="2" t="s">
        <v>30</v>
      </c>
      <c r="D329" s="4" t="n">
        <v>50299.7</v>
      </c>
      <c r="E329" s="1" t="str">
        <f aca="false">B329&amp;C329</f>
        <v>3470609010</v>
      </c>
      <c r="F329" s="5" t="n">
        <f aca="false">IFERROR(VLOOKUP(E329,'Legacy Data'!$C$2:$D$1702,2,FALSE()),"No legacy match")</f>
        <v>50299.7</v>
      </c>
      <c r="G329" s="5" t="n">
        <f aca="false">IFERROR(F329-D329,"N/A")</f>
        <v>0</v>
      </c>
      <c r="H329" s="1" t="str">
        <f aca="false">IF(ISNUMBER(G329),IF(G329=0,"Match","Variance"),"Check")</f>
        <v>Match</v>
      </c>
    </row>
    <row r="330" customFormat="false" ht="15.75" hidden="false" customHeight="true" outlineLevel="0" collapsed="false">
      <c r="B330" s="2" t="s">
        <v>91</v>
      </c>
      <c r="C330" s="2" t="s">
        <v>39</v>
      </c>
      <c r="D330" s="4" t="n">
        <v>-25041.73</v>
      </c>
      <c r="E330" s="1" t="str">
        <f aca="false">B330&amp;C330</f>
        <v>3470609012</v>
      </c>
      <c r="F330" s="5" t="n">
        <f aca="false">IFERROR(VLOOKUP(E330,'Legacy Data'!$C$2:$D$1702,2,FALSE()),"No legacy match")</f>
        <v>-25041.73</v>
      </c>
      <c r="G330" s="5" t="n">
        <f aca="false">IFERROR(F330-D330,"N/A")</f>
        <v>0</v>
      </c>
      <c r="H330" s="1" t="str">
        <f aca="false">IF(ISNUMBER(G330),IF(G330=0,"Match","Variance"),"Check")</f>
        <v>Match</v>
      </c>
    </row>
    <row r="331" customFormat="false" ht="15.75" hidden="false" customHeight="true" outlineLevel="0" collapsed="false">
      <c r="B331" s="2" t="s">
        <v>91</v>
      </c>
      <c r="C331" s="2" t="s">
        <v>64</v>
      </c>
      <c r="D331" s="4" t="n">
        <v>32610065.97</v>
      </c>
      <c r="E331" s="1" t="str">
        <f aca="false">B331&amp;C331</f>
        <v>3470610000</v>
      </c>
      <c r="F331" s="5" t="n">
        <f aca="false">IFERROR(VLOOKUP(E331,'Legacy Data'!$C$2:$D$1702,2,FALSE()),"No legacy match")</f>
        <v>32610065.97</v>
      </c>
      <c r="G331" s="5" t="n">
        <f aca="false">IFERROR(F331-D331,"N/A")</f>
        <v>0</v>
      </c>
      <c r="H331" s="1" t="str">
        <f aca="false">IF(ISNUMBER(G331),IF(G331=0,"Match","Variance"),"Check")</f>
        <v>Match</v>
      </c>
    </row>
    <row r="332" customFormat="false" ht="15.75" hidden="false" customHeight="true" outlineLevel="0" collapsed="false">
      <c r="B332" s="2" t="s">
        <v>91</v>
      </c>
      <c r="C332" s="2" t="s">
        <v>65</v>
      </c>
      <c r="D332" s="4" t="n">
        <v>8697129.84</v>
      </c>
      <c r="E332" s="1" t="str">
        <f aca="false">B332&amp;C332</f>
        <v>3470610001</v>
      </c>
      <c r="F332" s="5" t="n">
        <f aca="false">IFERROR(VLOOKUP(E332,'Legacy Data'!$C$2:$D$1702,2,FALSE()),"No legacy match")</f>
        <v>8697129.84</v>
      </c>
      <c r="G332" s="5" t="n">
        <f aca="false">IFERROR(F332-D332,"N/A")</f>
        <v>0</v>
      </c>
      <c r="H332" s="1" t="str">
        <f aca="false">IF(ISNUMBER(G332),IF(G332=0,"Match","Variance"),"Check")</f>
        <v>Match</v>
      </c>
    </row>
    <row r="333" customFormat="false" ht="15.75" hidden="false" customHeight="true" outlineLevel="0" collapsed="false">
      <c r="B333" s="2" t="s">
        <v>91</v>
      </c>
      <c r="C333" s="2" t="s">
        <v>82</v>
      </c>
      <c r="D333" s="4" t="n">
        <v>-3541112.92</v>
      </c>
      <c r="E333" s="1" t="str">
        <f aca="false">B333&amp;C333</f>
        <v>3470610002</v>
      </c>
      <c r="F333" s="5" t="n">
        <f aca="false">IFERROR(VLOOKUP(E333,'Legacy Data'!$C$2:$D$1702,2,FALSE()),"No legacy match")</f>
        <v>-3541112.92</v>
      </c>
      <c r="G333" s="5" t="n">
        <f aca="false">IFERROR(F333-D333,"N/A")</f>
        <v>0</v>
      </c>
      <c r="H333" s="1" t="str">
        <f aca="false">IF(ISNUMBER(G333),IF(G333=0,"Match","Variance"),"Check")</f>
        <v>Match</v>
      </c>
    </row>
    <row r="334" customFormat="false" ht="15.75" hidden="false" customHeight="true" outlineLevel="0" collapsed="false">
      <c r="B334" s="2" t="s">
        <v>91</v>
      </c>
      <c r="C334" s="2" t="s">
        <v>66</v>
      </c>
      <c r="D334" s="4" t="n">
        <v>-1271663.84</v>
      </c>
      <c r="E334" s="1" t="str">
        <f aca="false">B334&amp;C334</f>
        <v>3470610003</v>
      </c>
      <c r="F334" s="5" t="n">
        <f aca="false">IFERROR(VLOOKUP(E334,'Legacy Data'!$C$2:$D$1702,2,FALSE()),"No legacy match")</f>
        <v>-1271663.84</v>
      </c>
      <c r="G334" s="5" t="n">
        <f aca="false">IFERROR(F334-D334,"N/A")</f>
        <v>0</v>
      </c>
      <c r="H334" s="1" t="str">
        <f aca="false">IF(ISNUMBER(G334),IF(G334=0,"Match","Variance"),"Check")</f>
        <v>Match</v>
      </c>
    </row>
    <row r="335" customFormat="false" ht="15.75" hidden="false" customHeight="true" outlineLevel="0" collapsed="false">
      <c r="B335" s="2" t="s">
        <v>91</v>
      </c>
      <c r="C335" s="2" t="s">
        <v>67</v>
      </c>
      <c r="D335" s="4" t="n">
        <v>1368927.06</v>
      </c>
      <c r="E335" s="1" t="str">
        <f aca="false">B335&amp;C335</f>
        <v>3470610004</v>
      </c>
      <c r="F335" s="5" t="n">
        <f aca="false">IFERROR(VLOOKUP(E335,'Legacy Data'!$C$2:$D$1702,2,FALSE()),"No legacy match")</f>
        <v>1368927.06</v>
      </c>
      <c r="G335" s="5" t="n">
        <f aca="false">IFERROR(F335-D335,"N/A")</f>
        <v>0</v>
      </c>
      <c r="H335" s="1" t="str">
        <f aca="false">IF(ISNUMBER(G335),IF(G335=0,"Match","Variance"),"Check")</f>
        <v>Match</v>
      </c>
    </row>
    <row r="336" customFormat="false" ht="15.75" hidden="false" customHeight="true" outlineLevel="0" collapsed="false">
      <c r="B336" s="2" t="s">
        <v>91</v>
      </c>
      <c r="C336" s="2" t="s">
        <v>31</v>
      </c>
      <c r="D336" s="4" t="n">
        <v>476.99</v>
      </c>
      <c r="E336" s="1" t="str">
        <f aca="false">B336&amp;C336</f>
        <v>3470607000</v>
      </c>
      <c r="F336" s="5" t="n">
        <f aca="false">IFERROR(VLOOKUP(E336,'Legacy Data'!$C$2:$D$1702,2,FALSE()),"No legacy match")</f>
        <v>476.99</v>
      </c>
      <c r="G336" s="5" t="n">
        <f aca="false">IFERROR(F336-D336,"N/A")</f>
        <v>0</v>
      </c>
      <c r="H336" s="1" t="str">
        <f aca="false">IF(ISNUMBER(G336),IF(G336=0,"Match","Variance"),"Check")</f>
        <v>Match</v>
      </c>
    </row>
    <row r="337" customFormat="false" ht="15.75" hidden="false" customHeight="true" outlineLevel="0" collapsed="false">
      <c r="B337" s="2" t="s">
        <v>91</v>
      </c>
      <c r="C337" s="2" t="s">
        <v>32</v>
      </c>
      <c r="D337" s="4" t="n">
        <v>7615</v>
      </c>
      <c r="E337" s="1" t="str">
        <f aca="false">B337&amp;C337</f>
        <v>3470607010</v>
      </c>
      <c r="F337" s="5" t="n">
        <f aca="false">IFERROR(VLOOKUP(E337,'Legacy Data'!$C$2:$D$1702,2,FALSE()),"No legacy match")</f>
        <v>7615</v>
      </c>
      <c r="G337" s="5" t="n">
        <f aca="false">IFERROR(F337-D337,"N/A")</f>
        <v>0</v>
      </c>
      <c r="H337" s="1" t="str">
        <f aca="false">IF(ISNUMBER(G337),IF(G337=0,"Match","Variance"),"Check")</f>
        <v>Match</v>
      </c>
    </row>
    <row r="338" customFormat="false" ht="15.75" hidden="false" customHeight="true" outlineLevel="0" collapsed="false">
      <c r="B338" s="2" t="s">
        <v>91</v>
      </c>
      <c r="C338" s="2" t="s">
        <v>33</v>
      </c>
      <c r="D338" s="4" t="n">
        <v>-393861.89</v>
      </c>
      <c r="E338" s="1" t="str">
        <f aca="false">B338&amp;C338</f>
        <v>3470604031</v>
      </c>
      <c r="F338" s="5" t="n">
        <f aca="false">IFERROR(VLOOKUP(E338,'Legacy Data'!$C$2:$D$1702,2,FALSE()),"No legacy match")</f>
        <v>-393861.89</v>
      </c>
      <c r="G338" s="5" t="n">
        <f aca="false">IFERROR(F338-D338,"N/A")</f>
        <v>0</v>
      </c>
      <c r="H338" s="1" t="str">
        <f aca="false">IF(ISNUMBER(G338),IF(G338=0,"Match","Variance"),"Check")</f>
        <v>Match</v>
      </c>
    </row>
    <row r="339" customFormat="false" ht="15.75" hidden="false" customHeight="true" outlineLevel="0" collapsed="false">
      <c r="B339" s="2" t="s">
        <v>91</v>
      </c>
      <c r="C339" s="2" t="s">
        <v>34</v>
      </c>
      <c r="D339" s="4" t="n">
        <v>0</v>
      </c>
      <c r="E339" s="1" t="str">
        <f aca="false">B339&amp;C339</f>
        <v>3470910002</v>
      </c>
      <c r="F339" s="5" t="n">
        <f aca="false">IFERROR(VLOOKUP(E339,'Legacy Data'!$C$2:$D$1702,2,FALSE()),"No legacy match")</f>
        <v>0</v>
      </c>
      <c r="G339" s="5" t="n">
        <f aca="false">IFERROR(F339-D339,"N/A")</f>
        <v>0</v>
      </c>
      <c r="H339" s="1" t="str">
        <f aca="false">IF(ISNUMBER(G339),IF(G339=0,"Match","Variance"),"Check")</f>
        <v>Match</v>
      </c>
    </row>
    <row r="340" customFormat="false" ht="15.75" hidden="false" customHeight="true" outlineLevel="0" collapsed="false">
      <c r="B340" s="2" t="s">
        <v>91</v>
      </c>
      <c r="C340" s="2" t="s">
        <v>35</v>
      </c>
      <c r="D340" s="4" t="n">
        <v>0</v>
      </c>
      <c r="E340" s="1" t="str">
        <f aca="false">B340&amp;C340</f>
        <v>3470910004</v>
      </c>
      <c r="F340" s="5" t="n">
        <f aca="false">IFERROR(VLOOKUP(E340,'Legacy Data'!$C$2:$D$1702,2,FALSE()),"No legacy match")</f>
        <v>0</v>
      </c>
      <c r="G340" s="5" t="n">
        <f aca="false">IFERROR(F340-D340,"N/A")</f>
        <v>0</v>
      </c>
      <c r="H340" s="1" t="str">
        <f aca="false">IF(ISNUMBER(G340),IF(G340=0,"Match","Variance"),"Check")</f>
        <v>Match</v>
      </c>
    </row>
    <row r="341" customFormat="false" ht="15.75" hidden="false" customHeight="true" outlineLevel="0" collapsed="false">
      <c r="B341" s="2" t="s">
        <v>91</v>
      </c>
      <c r="C341" s="2" t="s">
        <v>94</v>
      </c>
      <c r="D341" s="4" t="n">
        <v>216694283.85</v>
      </c>
      <c r="E341" s="1" t="str">
        <f aca="false">B341&amp;C341</f>
        <v>3470620000</v>
      </c>
      <c r="F341" s="5" t="n">
        <f aca="false">IFERROR(VLOOKUP(E341,'Legacy Data'!$C$2:$D$1702,2,FALSE()),"No legacy match")</f>
        <v>216694283.85</v>
      </c>
      <c r="G341" s="5" t="n">
        <f aca="false">IFERROR(F341-D341,"N/A")</f>
        <v>0</v>
      </c>
      <c r="H341" s="1" t="str">
        <f aca="false">IF(ISNUMBER(G341),IF(G341=0,"Match","Variance"),"Check")</f>
        <v>Match</v>
      </c>
    </row>
    <row r="342" customFormat="false" ht="15.75" hidden="false" customHeight="true" outlineLevel="0" collapsed="false">
      <c r="B342" s="2" t="s">
        <v>91</v>
      </c>
      <c r="C342" s="2" t="s">
        <v>95</v>
      </c>
      <c r="D342" s="4" t="n">
        <v>-41637943.05</v>
      </c>
      <c r="E342" s="1" t="str">
        <f aca="false">B342&amp;C342</f>
        <v>3470620001</v>
      </c>
      <c r="F342" s="5" t="n">
        <f aca="false">IFERROR(VLOOKUP(E342,'Legacy Data'!$C$2:$D$1702,2,FALSE()),"No legacy match")</f>
        <v>-41637943.05</v>
      </c>
      <c r="G342" s="5" t="n">
        <f aca="false">IFERROR(F342-D342,"N/A")</f>
        <v>0</v>
      </c>
      <c r="H342" s="1" t="str">
        <f aca="false">IF(ISNUMBER(G342),IF(G342=0,"Match","Variance"),"Check")</f>
        <v>Match</v>
      </c>
    </row>
    <row r="343" customFormat="false" ht="15.75" hidden="false" customHeight="true" outlineLevel="0" collapsed="false">
      <c r="B343" s="2" t="s">
        <v>91</v>
      </c>
      <c r="C343" s="2" t="s">
        <v>96</v>
      </c>
      <c r="D343" s="4" t="n">
        <v>7164687.9</v>
      </c>
      <c r="E343" s="1" t="str">
        <f aca="false">B343&amp;C343</f>
        <v>3470620020</v>
      </c>
      <c r="F343" s="5" t="n">
        <f aca="false">IFERROR(VLOOKUP(E343,'Legacy Data'!$C$2:$D$1702,2,FALSE()),"No legacy match")</f>
        <v>7164687.9</v>
      </c>
      <c r="G343" s="5" t="n">
        <f aca="false">IFERROR(F343-D343,"N/A")</f>
        <v>0</v>
      </c>
      <c r="H343" s="1" t="str">
        <f aca="false">IF(ISNUMBER(G343),IF(G343=0,"Match","Variance"),"Check")</f>
        <v>Match</v>
      </c>
    </row>
    <row r="344" customFormat="false" ht="15.75" hidden="false" customHeight="true" outlineLevel="0" collapsed="false">
      <c r="B344" s="2" t="s">
        <v>91</v>
      </c>
      <c r="C344" s="2" t="s">
        <v>97</v>
      </c>
      <c r="D344" s="4" t="n">
        <v>-52350094.3</v>
      </c>
      <c r="E344" s="1" t="str">
        <f aca="false">B344&amp;C344</f>
        <v>3470620030</v>
      </c>
      <c r="F344" s="5" t="n">
        <f aca="false">IFERROR(VLOOKUP(E344,'Legacy Data'!$C$2:$D$1702,2,FALSE()),"No legacy match")</f>
        <v>-52350094.3</v>
      </c>
      <c r="G344" s="5" t="n">
        <f aca="false">IFERROR(F344-D344,"N/A")</f>
        <v>0</v>
      </c>
      <c r="H344" s="1" t="str">
        <f aca="false">IF(ISNUMBER(G344),IF(G344=0,"Match","Variance"),"Check")</f>
        <v>Match</v>
      </c>
    </row>
    <row r="345" customFormat="false" ht="15.75" hidden="false" customHeight="true" outlineLevel="0" collapsed="false">
      <c r="B345" s="2" t="s">
        <v>91</v>
      </c>
      <c r="C345" s="2" t="s">
        <v>98</v>
      </c>
      <c r="D345" s="4" t="n">
        <v>585215</v>
      </c>
      <c r="E345" s="1" t="str">
        <f aca="false">B345&amp;C345</f>
        <v>3470620040</v>
      </c>
      <c r="F345" s="5" t="n">
        <f aca="false">IFERROR(VLOOKUP(E345,'Legacy Data'!$C$2:$D$1702,2,FALSE()),"No legacy match")</f>
        <v>585215</v>
      </c>
      <c r="G345" s="5" t="n">
        <f aca="false">IFERROR(F345-D345,"N/A")</f>
        <v>0</v>
      </c>
      <c r="H345" s="1" t="str">
        <f aca="false">IF(ISNUMBER(G345),IF(G345=0,"Match","Variance"),"Check")</f>
        <v>Match</v>
      </c>
    </row>
    <row r="346" customFormat="false" ht="15.75" hidden="false" customHeight="true" outlineLevel="0" collapsed="false">
      <c r="B346" s="2" t="s">
        <v>99</v>
      </c>
      <c r="C346" s="2" t="s">
        <v>8</v>
      </c>
      <c r="D346" s="4" t="n">
        <v>2985515.35</v>
      </c>
      <c r="E346" s="1" t="str">
        <f aca="false">B346&amp;C346</f>
        <v>3700602000</v>
      </c>
      <c r="F346" s="5" t="n">
        <f aca="false">IFERROR(VLOOKUP(E346,'Legacy Data'!$C$2:$D$1702,2,FALSE()),"No legacy match")</f>
        <v>2985515.35</v>
      </c>
      <c r="G346" s="5" t="n">
        <f aca="false">IFERROR(F346-D346,"N/A")</f>
        <v>0</v>
      </c>
      <c r="H346" s="1" t="str">
        <f aca="false">IF(ISNUMBER(G346),IF(G346=0,"Match","Variance"),"Check")</f>
        <v>Match</v>
      </c>
    </row>
    <row r="347" customFormat="false" ht="15.75" hidden="false" customHeight="true" outlineLevel="0" collapsed="false">
      <c r="B347" s="2" t="s">
        <v>99</v>
      </c>
      <c r="C347" s="2" t="s">
        <v>9</v>
      </c>
      <c r="D347" s="4" t="n">
        <v>908405.68</v>
      </c>
      <c r="E347" s="1" t="str">
        <f aca="false">B347&amp;C347</f>
        <v>3700602003</v>
      </c>
      <c r="F347" s="5" t="n">
        <f aca="false">IFERROR(VLOOKUP(E347,'Legacy Data'!$C$2:$D$1702,2,FALSE()),"No legacy match")</f>
        <v>908405.68</v>
      </c>
      <c r="G347" s="5" t="n">
        <f aca="false">IFERROR(F347-D347,"N/A")</f>
        <v>0</v>
      </c>
      <c r="H347" s="1" t="str">
        <f aca="false">IF(ISNUMBER(G347),IF(G347=0,"Match","Variance"),"Check")</f>
        <v>Match</v>
      </c>
    </row>
    <row r="348" customFormat="false" ht="15.75" hidden="false" customHeight="true" outlineLevel="0" collapsed="false">
      <c r="B348" s="2" t="s">
        <v>99</v>
      </c>
      <c r="C348" s="2" t="s">
        <v>12</v>
      </c>
      <c r="D348" s="4" t="n">
        <v>309400.21</v>
      </c>
      <c r="E348" s="1" t="str">
        <f aca="false">B348&amp;C348</f>
        <v>3700602010</v>
      </c>
      <c r="F348" s="5" t="n">
        <f aca="false">IFERROR(VLOOKUP(E348,'Legacy Data'!$C$2:$D$1702,2,FALSE()),"No legacy match")</f>
        <v>309400.21</v>
      </c>
      <c r="G348" s="5" t="n">
        <f aca="false">IFERROR(F348-D348,"N/A")</f>
        <v>0</v>
      </c>
      <c r="H348" s="1" t="str">
        <f aca="false">IF(ISNUMBER(G348),IF(G348=0,"Match","Variance"),"Check")</f>
        <v>Match</v>
      </c>
    </row>
    <row r="349" customFormat="false" ht="15.75" hidden="false" customHeight="true" outlineLevel="0" collapsed="false">
      <c r="B349" s="2" t="s">
        <v>99</v>
      </c>
      <c r="C349" s="2" t="s">
        <v>13</v>
      </c>
      <c r="D349" s="4" t="n">
        <v>105565.77</v>
      </c>
      <c r="E349" s="1" t="str">
        <f aca="false">B349&amp;C349</f>
        <v>3700602020</v>
      </c>
      <c r="F349" s="5" t="n">
        <f aca="false">IFERROR(VLOOKUP(E349,'Legacy Data'!$C$2:$D$1702,2,FALSE()),"No legacy match")</f>
        <v>105565.77</v>
      </c>
      <c r="G349" s="5" t="n">
        <f aca="false">IFERROR(F349-D349,"N/A")</f>
        <v>0</v>
      </c>
      <c r="H349" s="1" t="str">
        <f aca="false">IF(ISNUMBER(G349),IF(G349=0,"Match","Variance"),"Check")</f>
        <v>Match</v>
      </c>
    </row>
    <row r="350" customFormat="false" ht="15.75" hidden="false" customHeight="true" outlineLevel="0" collapsed="false">
      <c r="B350" s="2" t="s">
        <v>99</v>
      </c>
      <c r="C350" s="2" t="s">
        <v>14</v>
      </c>
      <c r="D350" s="4" t="n">
        <v>120615.55</v>
      </c>
      <c r="E350" s="1" t="str">
        <f aca="false">B350&amp;C350</f>
        <v>3700602030</v>
      </c>
      <c r="F350" s="5" t="n">
        <f aca="false">IFERROR(VLOOKUP(E350,'Legacy Data'!$C$2:$D$1702,2,FALSE()),"No legacy match")</f>
        <v>120615.55</v>
      </c>
      <c r="G350" s="5" t="n">
        <f aca="false">IFERROR(F350-D350,"N/A")</f>
        <v>0</v>
      </c>
      <c r="H350" s="1" t="str">
        <f aca="false">IF(ISNUMBER(G350),IF(G350=0,"Match","Variance"),"Check")</f>
        <v>Match</v>
      </c>
    </row>
    <row r="351" customFormat="false" ht="15.75" hidden="false" customHeight="true" outlineLevel="0" collapsed="false">
      <c r="B351" s="2" t="s">
        <v>99</v>
      </c>
      <c r="C351" s="2" t="s">
        <v>42</v>
      </c>
      <c r="D351" s="4" t="n">
        <v>9132.42</v>
      </c>
      <c r="E351" s="1" t="str">
        <f aca="false">B351&amp;C351</f>
        <v>3700602040</v>
      </c>
      <c r="F351" s="5" t="n">
        <f aca="false">IFERROR(VLOOKUP(E351,'Legacy Data'!$C$2:$D$1702,2,FALSE()),"No legacy match")</f>
        <v>9132.42</v>
      </c>
      <c r="G351" s="5" t="n">
        <f aca="false">IFERROR(F351-D351,"N/A")</f>
        <v>0</v>
      </c>
      <c r="H351" s="1" t="str">
        <f aca="false">IF(ISNUMBER(G351),IF(G351=0,"Match","Variance"),"Check")</f>
        <v>Match</v>
      </c>
    </row>
    <row r="352" customFormat="false" ht="15.75" hidden="false" customHeight="true" outlineLevel="0" collapsed="false">
      <c r="B352" s="2" t="s">
        <v>99</v>
      </c>
      <c r="C352" s="2" t="s">
        <v>44</v>
      </c>
      <c r="D352" s="4" t="n">
        <v>700</v>
      </c>
      <c r="E352" s="1" t="str">
        <f aca="false">B352&amp;C352</f>
        <v>3700602060</v>
      </c>
      <c r="F352" s="5" t="n">
        <f aca="false">IFERROR(VLOOKUP(E352,'Legacy Data'!$C$2:$D$1702,2,FALSE()),"No legacy match")</f>
        <v>700</v>
      </c>
      <c r="G352" s="5" t="n">
        <f aca="false">IFERROR(F352-D352,"N/A")</f>
        <v>0</v>
      </c>
      <c r="H352" s="1" t="str">
        <f aca="false">IF(ISNUMBER(G352),IF(G352=0,"Match","Variance"),"Check")</f>
        <v>Match</v>
      </c>
    </row>
    <row r="353" customFormat="false" ht="15.75" hidden="false" customHeight="true" outlineLevel="0" collapsed="false">
      <c r="B353" s="2" t="s">
        <v>99</v>
      </c>
      <c r="C353" s="2" t="s">
        <v>15</v>
      </c>
      <c r="D353" s="4" t="n">
        <v>9339.53</v>
      </c>
      <c r="E353" s="1" t="str">
        <f aca="false">B353&amp;C353</f>
        <v>3700602070</v>
      </c>
      <c r="F353" s="5" t="n">
        <f aca="false">IFERROR(VLOOKUP(E353,'Legacy Data'!$C$2:$D$1702,2,FALSE()),"No legacy match")</f>
        <v>9339.53</v>
      </c>
      <c r="G353" s="5" t="n">
        <f aca="false">IFERROR(F353-D353,"N/A")</f>
        <v>0</v>
      </c>
      <c r="H353" s="1" t="str">
        <f aca="false">IF(ISNUMBER(G353),IF(G353=0,"Match","Variance"),"Check")</f>
        <v>Match</v>
      </c>
    </row>
    <row r="354" customFormat="false" ht="15.75" hidden="false" customHeight="true" outlineLevel="0" collapsed="false">
      <c r="B354" s="2" t="s">
        <v>99</v>
      </c>
      <c r="C354" s="2" t="s">
        <v>16</v>
      </c>
      <c r="D354" s="4" t="n">
        <v>257939.53</v>
      </c>
      <c r="E354" s="1" t="str">
        <f aca="false">B354&amp;C354</f>
        <v>3700602072</v>
      </c>
      <c r="F354" s="5" t="n">
        <f aca="false">IFERROR(VLOOKUP(E354,'Legacy Data'!$C$2:$D$1702,2,FALSE()),"No legacy match")</f>
        <v>257939.53</v>
      </c>
      <c r="G354" s="5" t="n">
        <f aca="false">IFERROR(F354-D354,"N/A")</f>
        <v>0</v>
      </c>
      <c r="H354" s="1" t="str">
        <f aca="false">IF(ISNUMBER(G354),IF(G354=0,"Match","Variance"),"Check")</f>
        <v>Match</v>
      </c>
    </row>
    <row r="355" customFormat="false" ht="15.75" hidden="false" customHeight="true" outlineLevel="0" collapsed="false">
      <c r="B355" s="2" t="s">
        <v>99</v>
      </c>
      <c r="C355" s="2" t="s">
        <v>46</v>
      </c>
      <c r="D355" s="4" t="n">
        <v>-1833.45</v>
      </c>
      <c r="E355" s="1" t="str">
        <f aca="false">B355&amp;C355</f>
        <v>3700602073</v>
      </c>
      <c r="F355" s="5" t="n">
        <f aca="false">IFERROR(VLOOKUP(E355,'Legacy Data'!$C$2:$D$1702,2,FALSE()),"No legacy match")</f>
        <v>-1833.45</v>
      </c>
      <c r="G355" s="5" t="n">
        <f aca="false">IFERROR(F355-D355,"N/A")</f>
        <v>0</v>
      </c>
      <c r="H355" s="1" t="str">
        <f aca="false">IF(ISNUMBER(G355),IF(G355=0,"Match","Variance"),"Check")</f>
        <v>Match</v>
      </c>
    </row>
    <row r="356" customFormat="false" ht="15.75" hidden="false" customHeight="true" outlineLevel="0" collapsed="false">
      <c r="B356" s="2" t="s">
        <v>99</v>
      </c>
      <c r="C356" s="2" t="s">
        <v>47</v>
      </c>
      <c r="D356" s="4" t="n">
        <v>3613.66</v>
      </c>
      <c r="E356" s="1" t="str">
        <f aca="false">B356&amp;C356</f>
        <v>3700602074</v>
      </c>
      <c r="F356" s="5" t="n">
        <f aca="false">IFERROR(VLOOKUP(E356,'Legacy Data'!$C$2:$D$1702,2,FALSE()),"No legacy match")</f>
        <v>3613.66</v>
      </c>
      <c r="G356" s="5" t="n">
        <f aca="false">IFERROR(F356-D356,"N/A")</f>
        <v>0</v>
      </c>
      <c r="H356" s="1" t="str">
        <f aca="false">IF(ISNUMBER(G356),IF(G356=0,"Match","Variance"),"Check")</f>
        <v>Match</v>
      </c>
    </row>
    <row r="357" customFormat="false" ht="15.75" hidden="false" customHeight="true" outlineLevel="0" collapsed="false">
      <c r="B357" s="2" t="s">
        <v>99</v>
      </c>
      <c r="C357" s="2" t="s">
        <v>48</v>
      </c>
      <c r="D357" s="4" t="n">
        <v>107946.22</v>
      </c>
      <c r="E357" s="1" t="str">
        <f aca="false">B357&amp;C357</f>
        <v>3700602080</v>
      </c>
      <c r="F357" s="5" t="n">
        <f aca="false">IFERROR(VLOOKUP(E357,'Legacy Data'!$C$2:$D$1702,2,FALSE()),"No legacy match")</f>
        <v>107946.22</v>
      </c>
      <c r="G357" s="5" t="n">
        <f aca="false">IFERROR(F357-D357,"N/A")</f>
        <v>0</v>
      </c>
      <c r="H357" s="1" t="str">
        <f aca="false">IF(ISNUMBER(G357),IF(G357=0,"Match","Variance"),"Check")</f>
        <v>Match</v>
      </c>
    </row>
    <row r="358" customFormat="false" ht="15.75" hidden="false" customHeight="true" outlineLevel="0" collapsed="false">
      <c r="B358" s="2" t="s">
        <v>99</v>
      </c>
      <c r="C358" s="2" t="s">
        <v>17</v>
      </c>
      <c r="D358" s="4" t="n">
        <v>357380.01</v>
      </c>
      <c r="E358" s="1" t="str">
        <f aca="false">B358&amp;C358</f>
        <v>3700603000</v>
      </c>
      <c r="F358" s="5" t="n">
        <f aca="false">IFERROR(VLOOKUP(E358,'Legacy Data'!$C$2:$D$1702,2,FALSE()),"No legacy match")</f>
        <v>357380.01</v>
      </c>
      <c r="G358" s="5" t="n">
        <f aca="false">IFERROR(F358-D358,"N/A")</f>
        <v>0</v>
      </c>
      <c r="H358" s="1" t="str">
        <f aca="false">IF(ISNUMBER(G358),IF(G358=0,"Match","Variance"),"Check")</f>
        <v>Match</v>
      </c>
    </row>
    <row r="359" customFormat="false" ht="15.75" hidden="false" customHeight="true" outlineLevel="0" collapsed="false">
      <c r="B359" s="2" t="s">
        <v>99</v>
      </c>
      <c r="C359" s="2" t="s">
        <v>18</v>
      </c>
      <c r="D359" s="4" t="n">
        <v>0</v>
      </c>
      <c r="E359" s="1" t="str">
        <f aca="false">B359&amp;C359</f>
        <v>3700910003</v>
      </c>
      <c r="F359" s="5" t="n">
        <f aca="false">IFERROR(VLOOKUP(E359,'Legacy Data'!$C$2:$D$1702,2,FALSE()),"No legacy match")</f>
        <v>0</v>
      </c>
      <c r="G359" s="5" t="n">
        <f aca="false">IFERROR(F359-D359,"N/A")</f>
        <v>0</v>
      </c>
      <c r="H359" s="1" t="str">
        <f aca="false">IF(ISNUMBER(G359),IF(G359=0,"Match","Variance"),"Check")</f>
        <v>Match</v>
      </c>
    </row>
    <row r="360" customFormat="false" ht="15.75" hidden="false" customHeight="true" outlineLevel="0" collapsed="false">
      <c r="B360" s="2" t="s">
        <v>99</v>
      </c>
      <c r="C360" s="2" t="s">
        <v>19</v>
      </c>
      <c r="D360" s="4" t="n">
        <v>98878</v>
      </c>
      <c r="E360" s="1" t="str">
        <f aca="false">B360&amp;C360</f>
        <v>3700604040</v>
      </c>
      <c r="F360" s="5" t="n">
        <f aca="false">IFERROR(VLOOKUP(E360,'Legacy Data'!$C$2:$D$1702,2,FALSE()),"No legacy match")</f>
        <v>98878</v>
      </c>
      <c r="G360" s="5" t="n">
        <f aca="false">IFERROR(F360-D360,"N/A")</f>
        <v>0</v>
      </c>
      <c r="H360" s="1" t="str">
        <f aca="false">IF(ISNUMBER(G360),IF(G360=0,"Match","Variance"),"Check")</f>
        <v>Match</v>
      </c>
    </row>
    <row r="361" customFormat="false" ht="15.75" hidden="false" customHeight="true" outlineLevel="0" collapsed="false">
      <c r="B361" s="2" t="s">
        <v>99</v>
      </c>
      <c r="C361" s="2" t="s">
        <v>50</v>
      </c>
      <c r="D361" s="4" t="n">
        <v>362676.73</v>
      </c>
      <c r="E361" s="1" t="str">
        <f aca="false">B361&amp;C361</f>
        <v>3700604060</v>
      </c>
      <c r="F361" s="5" t="n">
        <f aca="false">IFERROR(VLOOKUP(E361,'Legacy Data'!$C$2:$D$1702,2,FALSE()),"No legacy match")</f>
        <v>362676.73</v>
      </c>
      <c r="G361" s="5" t="n">
        <f aca="false">IFERROR(F361-D361,"N/A")</f>
        <v>0</v>
      </c>
      <c r="H361" s="1" t="str">
        <f aca="false">IF(ISNUMBER(G361),IF(G361=0,"Match","Variance"),"Check")</f>
        <v>Match</v>
      </c>
    </row>
    <row r="362" customFormat="false" ht="15.75" hidden="false" customHeight="true" outlineLevel="0" collapsed="false">
      <c r="B362" s="2" t="s">
        <v>99</v>
      </c>
      <c r="C362" s="2" t="s">
        <v>20</v>
      </c>
      <c r="D362" s="4" t="n">
        <v>0</v>
      </c>
      <c r="E362" s="1" t="str">
        <f aca="false">B362&amp;C362</f>
        <v>3700910001</v>
      </c>
      <c r="F362" s="5" t="n">
        <f aca="false">IFERROR(VLOOKUP(E362,'Legacy Data'!$C$2:$D$1702,2,FALSE()),"No legacy match")</f>
        <v>0</v>
      </c>
      <c r="G362" s="5" t="n">
        <f aca="false">IFERROR(F362-D362,"N/A")</f>
        <v>0</v>
      </c>
      <c r="H362" s="1" t="str">
        <f aca="false">IF(ISNUMBER(G362),IF(G362=0,"Match","Variance"),"Check")</f>
        <v>Match</v>
      </c>
    </row>
    <row r="363" customFormat="false" ht="15.75" hidden="false" customHeight="true" outlineLevel="0" collapsed="false">
      <c r="B363" s="2" t="s">
        <v>99</v>
      </c>
      <c r="C363" s="2" t="s">
        <v>22</v>
      </c>
      <c r="D363" s="4" t="n">
        <v>2985</v>
      </c>
      <c r="E363" s="1" t="str">
        <f aca="false">B363&amp;C363</f>
        <v>3700604010</v>
      </c>
      <c r="F363" s="5" t="n">
        <f aca="false">IFERROR(VLOOKUP(E363,'Legacy Data'!$C$2:$D$1702,2,FALSE()),"No legacy match")</f>
        <v>2985</v>
      </c>
      <c r="G363" s="5" t="n">
        <f aca="false">IFERROR(F363-D363,"N/A")</f>
        <v>0</v>
      </c>
      <c r="H363" s="1" t="str">
        <f aca="false">IF(ISNUMBER(G363),IF(G363=0,"Match","Variance"),"Check")</f>
        <v>Match</v>
      </c>
    </row>
    <row r="364" customFormat="false" ht="15.75" hidden="false" customHeight="true" outlineLevel="0" collapsed="false">
      <c r="B364" s="2" t="s">
        <v>99</v>
      </c>
      <c r="C364" s="2" t="s">
        <v>54</v>
      </c>
      <c r="D364" s="4" t="n">
        <v>46.96</v>
      </c>
      <c r="E364" s="1" t="str">
        <f aca="false">B364&amp;C364</f>
        <v>3700606000</v>
      </c>
      <c r="F364" s="5" t="n">
        <f aca="false">IFERROR(VLOOKUP(E364,'Legacy Data'!$C$2:$D$1702,2,FALSE()),"No legacy match")</f>
        <v>46.96</v>
      </c>
      <c r="G364" s="5" t="n">
        <f aca="false">IFERROR(F364-D364,"N/A")</f>
        <v>0</v>
      </c>
      <c r="H364" s="1" t="str">
        <f aca="false">IF(ISNUMBER(G364),IF(G364=0,"Match","Variance"),"Check")</f>
        <v>Match</v>
      </c>
    </row>
    <row r="365" customFormat="false" ht="15.75" hidden="false" customHeight="true" outlineLevel="0" collapsed="false">
      <c r="B365" s="2" t="s">
        <v>99</v>
      </c>
      <c r="C365" s="2" t="s">
        <v>59</v>
      </c>
      <c r="D365" s="4" t="n">
        <v>111.76</v>
      </c>
      <c r="E365" s="1" t="str">
        <f aca="false">B365&amp;C365</f>
        <v>3700608010</v>
      </c>
      <c r="F365" s="5" t="n">
        <f aca="false">IFERROR(VLOOKUP(E365,'Legacy Data'!$C$2:$D$1702,2,FALSE()),"No legacy match")</f>
        <v>111.76</v>
      </c>
      <c r="G365" s="5" t="n">
        <f aca="false">IFERROR(F365-D365,"N/A")</f>
        <v>0</v>
      </c>
      <c r="H365" s="1" t="str">
        <f aca="false">IF(ISNUMBER(G365),IF(G365=0,"Match","Variance"),"Check")</f>
        <v>Match</v>
      </c>
    </row>
    <row r="366" customFormat="false" ht="15.75" hidden="false" customHeight="true" outlineLevel="0" collapsed="false">
      <c r="B366" s="2" t="s">
        <v>99</v>
      </c>
      <c r="C366" s="2" t="s">
        <v>23</v>
      </c>
      <c r="D366" s="4" t="n">
        <v>25</v>
      </c>
      <c r="E366" s="1" t="str">
        <f aca="false">B366&amp;C366</f>
        <v>3700608020</v>
      </c>
      <c r="F366" s="5" t="n">
        <f aca="false">IFERROR(VLOOKUP(E366,'Legacy Data'!$C$2:$D$1702,2,FALSE()),"No legacy match")</f>
        <v>25</v>
      </c>
      <c r="G366" s="5" t="n">
        <f aca="false">IFERROR(F366-D366,"N/A")</f>
        <v>0</v>
      </c>
      <c r="H366" s="1" t="str">
        <f aca="false">IF(ISNUMBER(G366),IF(G366=0,"Match","Variance"),"Check")</f>
        <v>Match</v>
      </c>
    </row>
    <row r="367" customFormat="false" ht="15.75" hidden="false" customHeight="true" outlineLevel="0" collapsed="false">
      <c r="B367" s="2" t="s">
        <v>99</v>
      </c>
      <c r="C367" s="2" t="s">
        <v>60</v>
      </c>
      <c r="D367" s="4" t="n">
        <v>1564.5</v>
      </c>
      <c r="E367" s="1" t="str">
        <f aca="false">B367&amp;C367</f>
        <v>3700608040</v>
      </c>
      <c r="F367" s="5" t="n">
        <f aca="false">IFERROR(VLOOKUP(E367,'Legacy Data'!$C$2:$D$1702,2,FALSE()),"No legacy match")</f>
        <v>1564.5</v>
      </c>
      <c r="G367" s="5" t="n">
        <f aca="false">IFERROR(F367-D367,"N/A")</f>
        <v>0</v>
      </c>
      <c r="H367" s="1" t="str">
        <f aca="false">IF(ISNUMBER(G367),IF(G367=0,"Match","Variance"),"Check")</f>
        <v>Match</v>
      </c>
    </row>
    <row r="368" customFormat="false" ht="15.75" hidden="false" customHeight="true" outlineLevel="0" collapsed="false">
      <c r="B368" s="2" t="s">
        <v>99</v>
      </c>
      <c r="C368" s="2" t="s">
        <v>61</v>
      </c>
      <c r="D368" s="4" t="n">
        <v>1226.77</v>
      </c>
      <c r="E368" s="1" t="str">
        <f aca="false">B368&amp;C368</f>
        <v>3700608000</v>
      </c>
      <c r="F368" s="5" t="n">
        <f aca="false">IFERROR(VLOOKUP(E368,'Legacy Data'!$C$2:$D$1702,2,FALSE()),"No legacy match")</f>
        <v>1226.77</v>
      </c>
      <c r="G368" s="5" t="n">
        <f aca="false">IFERROR(F368-D368,"N/A")</f>
        <v>0</v>
      </c>
      <c r="H368" s="1" t="str">
        <f aca="false">IF(ISNUMBER(G368),IF(G368=0,"Match","Variance"),"Check")</f>
        <v>Match</v>
      </c>
    </row>
    <row r="369" customFormat="false" ht="15.75" hidden="false" customHeight="true" outlineLevel="0" collapsed="false">
      <c r="B369" s="2" t="s">
        <v>99</v>
      </c>
      <c r="C369" s="2" t="s">
        <v>24</v>
      </c>
      <c r="D369" s="4" t="n">
        <v>71197.65</v>
      </c>
      <c r="E369" s="1" t="str">
        <f aca="false">B369&amp;C369</f>
        <v>3700609004</v>
      </c>
      <c r="F369" s="5" t="n">
        <f aca="false">IFERROR(VLOOKUP(E369,'Legacy Data'!$C$2:$D$1702,2,FALSE()),"No legacy match")</f>
        <v>71197.65</v>
      </c>
      <c r="G369" s="5" t="n">
        <f aca="false">IFERROR(F369-D369,"N/A")</f>
        <v>0</v>
      </c>
      <c r="H369" s="1" t="str">
        <f aca="false">IF(ISNUMBER(G369),IF(G369=0,"Match","Variance"),"Check")</f>
        <v>Match</v>
      </c>
    </row>
    <row r="370" customFormat="false" ht="15.75" hidden="false" customHeight="true" outlineLevel="0" collapsed="false">
      <c r="B370" s="2" t="s">
        <v>99</v>
      </c>
      <c r="C370" s="2" t="s">
        <v>25</v>
      </c>
      <c r="D370" s="4" t="n">
        <v>1500</v>
      </c>
      <c r="E370" s="1" t="str">
        <f aca="false">B370&amp;C370</f>
        <v>3700609005</v>
      </c>
      <c r="F370" s="5" t="n">
        <f aca="false">IFERROR(VLOOKUP(E370,'Legacy Data'!$C$2:$D$1702,2,FALSE()),"No legacy match")</f>
        <v>1500</v>
      </c>
      <c r="G370" s="5" t="n">
        <f aca="false">IFERROR(F370-D370,"N/A")</f>
        <v>0</v>
      </c>
      <c r="H370" s="1" t="str">
        <f aca="false">IF(ISNUMBER(G370),IF(G370=0,"Match","Variance"),"Check")</f>
        <v>Match</v>
      </c>
    </row>
    <row r="371" customFormat="false" ht="15.75" hidden="false" customHeight="true" outlineLevel="0" collapsed="false">
      <c r="B371" s="2" t="s">
        <v>99</v>
      </c>
      <c r="C371" s="2" t="s">
        <v>26</v>
      </c>
      <c r="D371" s="4" t="n">
        <v>145051.18</v>
      </c>
      <c r="E371" s="1" t="str">
        <f aca="false">B371&amp;C371</f>
        <v>3700609006</v>
      </c>
      <c r="F371" s="5" t="n">
        <f aca="false">IFERROR(VLOOKUP(E371,'Legacy Data'!$C$2:$D$1702,2,FALSE()),"No legacy match")</f>
        <v>145051.18</v>
      </c>
      <c r="G371" s="5" t="n">
        <f aca="false">IFERROR(F371-D371,"N/A")</f>
        <v>0</v>
      </c>
      <c r="H371" s="1" t="str">
        <f aca="false">IF(ISNUMBER(G371),IF(G371=0,"Match","Variance"),"Check")</f>
        <v>Match</v>
      </c>
    </row>
    <row r="372" customFormat="false" ht="15.75" hidden="false" customHeight="true" outlineLevel="0" collapsed="false">
      <c r="B372" s="2" t="s">
        <v>99</v>
      </c>
      <c r="C372" s="2" t="s">
        <v>80</v>
      </c>
      <c r="D372" s="4" t="n">
        <v>107214.74</v>
      </c>
      <c r="E372" s="1" t="str">
        <f aca="false">B372&amp;C372</f>
        <v>3700609007</v>
      </c>
      <c r="F372" s="5" t="n">
        <f aca="false">IFERROR(VLOOKUP(E372,'Legacy Data'!$C$2:$D$1702,2,FALSE()),"No legacy match")</f>
        <v>107214.74</v>
      </c>
      <c r="G372" s="5" t="n">
        <f aca="false">IFERROR(F372-D372,"N/A")</f>
        <v>0</v>
      </c>
      <c r="H372" s="1" t="str">
        <f aca="false">IF(ISNUMBER(G372),IF(G372=0,"Match","Variance"),"Check")</f>
        <v>Match</v>
      </c>
    </row>
    <row r="373" customFormat="false" ht="15.75" hidden="false" customHeight="true" outlineLevel="0" collapsed="false">
      <c r="B373" s="2" t="s">
        <v>99</v>
      </c>
      <c r="C373" s="2" t="s">
        <v>63</v>
      </c>
      <c r="D373" s="4" t="n">
        <v>2619.04</v>
      </c>
      <c r="E373" s="1" t="str">
        <f aca="false">B373&amp;C373</f>
        <v>3700609000</v>
      </c>
      <c r="F373" s="5" t="n">
        <f aca="false">IFERROR(VLOOKUP(E373,'Legacy Data'!$C$2:$D$1702,2,FALSE()),"No legacy match")</f>
        <v>2619.04</v>
      </c>
      <c r="G373" s="5" t="n">
        <f aca="false">IFERROR(F373-D373,"N/A")</f>
        <v>0</v>
      </c>
      <c r="H373" s="1" t="str">
        <f aca="false">IF(ISNUMBER(G373),IF(G373=0,"Match","Variance"),"Check")</f>
        <v>Match</v>
      </c>
    </row>
    <row r="374" customFormat="false" ht="15.75" hidden="false" customHeight="true" outlineLevel="0" collapsed="false">
      <c r="B374" s="2" t="s">
        <v>99</v>
      </c>
      <c r="C374" s="2" t="s">
        <v>27</v>
      </c>
      <c r="D374" s="4" t="n">
        <v>232513.48</v>
      </c>
      <c r="E374" s="1" t="str">
        <f aca="false">B374&amp;C374</f>
        <v>3700609002</v>
      </c>
      <c r="F374" s="5" t="n">
        <f aca="false">IFERROR(VLOOKUP(E374,'Legacy Data'!$C$2:$D$1702,2,FALSE()),"No legacy match")</f>
        <v>232513.48</v>
      </c>
      <c r="G374" s="5" t="n">
        <f aca="false">IFERROR(F374-D374,"N/A")</f>
        <v>0</v>
      </c>
      <c r="H374" s="1" t="str">
        <f aca="false">IF(ISNUMBER(G374),IF(G374=0,"Match","Variance"),"Check")</f>
        <v>Match</v>
      </c>
    </row>
    <row r="375" customFormat="false" ht="15.75" hidden="false" customHeight="true" outlineLevel="0" collapsed="false">
      <c r="B375" s="2" t="s">
        <v>99</v>
      </c>
      <c r="C375" s="2" t="s">
        <v>28</v>
      </c>
      <c r="D375" s="4" t="n">
        <v>80287.4</v>
      </c>
      <c r="E375" s="1" t="str">
        <f aca="false">B375&amp;C375</f>
        <v>3700609003</v>
      </c>
      <c r="F375" s="5" t="n">
        <f aca="false">IFERROR(VLOOKUP(E375,'Legacy Data'!$C$2:$D$1702,2,FALSE()),"No legacy match")</f>
        <v>80287.4</v>
      </c>
      <c r="G375" s="5" t="n">
        <f aca="false">IFERROR(F375-D375,"N/A")</f>
        <v>0</v>
      </c>
      <c r="H375" s="1" t="str">
        <f aca="false">IF(ISNUMBER(G375),IF(G375=0,"Match","Variance"),"Check")</f>
        <v>Match</v>
      </c>
    </row>
    <row r="376" customFormat="false" ht="15.75" hidden="false" customHeight="true" outlineLevel="0" collapsed="false">
      <c r="B376" s="2" t="s">
        <v>99</v>
      </c>
      <c r="C376" s="2" t="s">
        <v>29</v>
      </c>
      <c r="D376" s="4" t="n">
        <v>35647.02</v>
      </c>
      <c r="E376" s="1" t="str">
        <f aca="false">B376&amp;C376</f>
        <v>3700609009</v>
      </c>
      <c r="F376" s="5" t="n">
        <f aca="false">IFERROR(VLOOKUP(E376,'Legacy Data'!$C$2:$D$1702,2,FALSE()),"No legacy match")</f>
        <v>35647.02</v>
      </c>
      <c r="G376" s="5" t="n">
        <f aca="false">IFERROR(F376-D376,"N/A")</f>
        <v>0</v>
      </c>
      <c r="H376" s="1" t="str">
        <f aca="false">IF(ISNUMBER(G376),IF(G376=0,"Match","Variance"),"Check")</f>
        <v>Match</v>
      </c>
    </row>
    <row r="377" customFormat="false" ht="15.75" hidden="false" customHeight="true" outlineLevel="0" collapsed="false">
      <c r="B377" s="2" t="s">
        <v>99</v>
      </c>
      <c r="C377" s="2" t="s">
        <v>30</v>
      </c>
      <c r="D377" s="4" t="n">
        <v>23606.24</v>
      </c>
      <c r="E377" s="1" t="str">
        <f aca="false">B377&amp;C377</f>
        <v>3700609010</v>
      </c>
      <c r="F377" s="5" t="n">
        <f aca="false">IFERROR(VLOOKUP(E377,'Legacy Data'!$C$2:$D$1702,2,FALSE()),"No legacy match")</f>
        <v>23606.24</v>
      </c>
      <c r="G377" s="5" t="n">
        <f aca="false">IFERROR(F377-D377,"N/A")</f>
        <v>0</v>
      </c>
      <c r="H377" s="1" t="str">
        <f aca="false">IF(ISNUMBER(G377),IF(G377=0,"Match","Variance"),"Check")</f>
        <v>Match</v>
      </c>
    </row>
    <row r="378" customFormat="false" ht="15.75" hidden="false" customHeight="true" outlineLevel="0" collapsed="false">
      <c r="B378" s="2" t="s">
        <v>99</v>
      </c>
      <c r="C378" s="2" t="s">
        <v>39</v>
      </c>
      <c r="D378" s="4" t="n">
        <v>-0.05</v>
      </c>
      <c r="E378" s="1" t="str">
        <f aca="false">B378&amp;C378</f>
        <v>3700609012</v>
      </c>
      <c r="F378" s="5" t="n">
        <f aca="false">IFERROR(VLOOKUP(E378,'Legacy Data'!$C$2:$D$1702,2,FALSE()),"No legacy match")</f>
        <v>-0.05</v>
      </c>
      <c r="G378" s="5" t="n">
        <f aca="false">IFERROR(F378-D378,"N/A")</f>
        <v>0</v>
      </c>
      <c r="H378" s="1" t="str">
        <f aca="false">IF(ISNUMBER(G378),IF(G378=0,"Match","Variance"),"Check")</f>
        <v>Match</v>
      </c>
    </row>
    <row r="379" customFormat="false" ht="15.75" hidden="false" customHeight="true" outlineLevel="0" collapsed="false">
      <c r="B379" s="2" t="s">
        <v>99</v>
      </c>
      <c r="C379" s="2" t="s">
        <v>31</v>
      </c>
      <c r="D379" s="4" t="n">
        <v>485658.42</v>
      </c>
      <c r="E379" s="1" t="str">
        <f aca="false">B379&amp;C379</f>
        <v>3700607000</v>
      </c>
      <c r="F379" s="5" t="n">
        <f aca="false">IFERROR(VLOOKUP(E379,'Legacy Data'!$C$2:$D$1702,2,FALSE()),"No legacy match")</f>
        <v>485658.42</v>
      </c>
      <c r="G379" s="5" t="n">
        <f aca="false">IFERROR(F379-D379,"N/A")</f>
        <v>0</v>
      </c>
      <c r="H379" s="1" t="str">
        <f aca="false">IF(ISNUMBER(G379),IF(G379=0,"Match","Variance"),"Check")</f>
        <v>Match</v>
      </c>
    </row>
    <row r="380" customFormat="false" ht="15.75" hidden="false" customHeight="true" outlineLevel="0" collapsed="false">
      <c r="B380" s="2" t="s">
        <v>99</v>
      </c>
      <c r="C380" s="2" t="s">
        <v>33</v>
      </c>
      <c r="D380" s="4" t="n">
        <v>3873109.53</v>
      </c>
      <c r="E380" s="1" t="str">
        <f aca="false">B380&amp;C380</f>
        <v>3700604031</v>
      </c>
      <c r="F380" s="5" t="n">
        <f aca="false">IFERROR(VLOOKUP(E380,'Legacy Data'!$C$2:$D$1702,2,FALSE()),"No legacy match")</f>
        <v>3873109.53</v>
      </c>
      <c r="G380" s="5" t="n">
        <f aca="false">IFERROR(F380-D380,"N/A")</f>
        <v>0</v>
      </c>
      <c r="H380" s="1" t="str">
        <f aca="false">IF(ISNUMBER(G380),IF(G380=0,"Match","Variance"),"Check")</f>
        <v>Match</v>
      </c>
    </row>
    <row r="381" customFormat="false" ht="15.75" hidden="false" customHeight="true" outlineLevel="0" collapsed="false">
      <c r="B381" s="2" t="s">
        <v>99</v>
      </c>
      <c r="C381" s="2" t="s">
        <v>34</v>
      </c>
      <c r="D381" s="4" t="n">
        <v>0</v>
      </c>
      <c r="E381" s="1" t="str">
        <f aca="false">B381&amp;C381</f>
        <v>3700910002</v>
      </c>
      <c r="F381" s="5" t="n">
        <f aca="false">IFERROR(VLOOKUP(E381,'Legacy Data'!$C$2:$D$1702,2,FALSE()),"No legacy match")</f>
        <v>0</v>
      </c>
      <c r="G381" s="5" t="n">
        <f aca="false">IFERROR(F381-D381,"N/A")</f>
        <v>0</v>
      </c>
      <c r="H381" s="1" t="str">
        <f aca="false">IF(ISNUMBER(G381),IF(G381=0,"Match","Variance"),"Check")</f>
        <v>Match</v>
      </c>
    </row>
    <row r="382" customFormat="false" ht="15.75" hidden="false" customHeight="true" outlineLevel="0" collapsed="false">
      <c r="B382" s="2" t="s">
        <v>99</v>
      </c>
      <c r="C382" s="2" t="s">
        <v>35</v>
      </c>
      <c r="D382" s="4" t="n">
        <v>0</v>
      </c>
      <c r="E382" s="1" t="str">
        <f aca="false">B382&amp;C382</f>
        <v>3700910004</v>
      </c>
      <c r="F382" s="5" t="n">
        <f aca="false">IFERROR(VLOOKUP(E382,'Legacy Data'!$C$2:$D$1702,2,FALSE()),"No legacy match")</f>
        <v>0</v>
      </c>
      <c r="G382" s="5" t="n">
        <f aca="false">IFERROR(F382-D382,"N/A")</f>
        <v>0</v>
      </c>
      <c r="H382" s="1" t="str">
        <f aca="false">IF(ISNUMBER(G382),IF(G382=0,"Match","Variance"),"Check")</f>
        <v>Match</v>
      </c>
    </row>
    <row r="383" customFormat="false" ht="15.75" hidden="false" customHeight="true" outlineLevel="0" collapsed="false">
      <c r="B383" s="2" t="s">
        <v>99</v>
      </c>
      <c r="C383" s="2" t="s">
        <v>75</v>
      </c>
      <c r="D383" s="4" t="n">
        <v>387.94</v>
      </c>
      <c r="E383" s="1" t="str">
        <f aca="false">B383&amp;C383</f>
        <v>3700607040</v>
      </c>
      <c r="F383" s="5" t="n">
        <f aca="false">IFERROR(VLOOKUP(E383,'Legacy Data'!$C$2:$D$1702,2,FALSE()),"No legacy match")</f>
        <v>387.94</v>
      </c>
      <c r="G383" s="5" t="n">
        <f aca="false">IFERROR(F383-D383,"N/A")</f>
        <v>0</v>
      </c>
      <c r="H383" s="1" t="str">
        <f aca="false">IF(ISNUMBER(G383),IF(G383=0,"Match","Variance"),"Check")</f>
        <v>Match</v>
      </c>
    </row>
    <row r="384" customFormat="false" ht="15.75" hidden="false" customHeight="true" outlineLevel="0" collapsed="false">
      <c r="B384" s="2" t="s">
        <v>100</v>
      </c>
      <c r="C384" s="2" t="s">
        <v>15</v>
      </c>
      <c r="D384" s="4" t="n">
        <v>496363</v>
      </c>
      <c r="E384" s="1" t="str">
        <f aca="false">B384&amp;C384</f>
        <v>3800602070</v>
      </c>
      <c r="F384" s="5" t="n">
        <f aca="false">IFERROR(VLOOKUP(E384,'Legacy Data'!$C$2:$D$1702,2,FALSE()),"No legacy match")</f>
        <v>496363</v>
      </c>
      <c r="G384" s="5" t="n">
        <f aca="false">IFERROR(F384-D384,"N/A")</f>
        <v>0</v>
      </c>
      <c r="H384" s="1" t="str">
        <f aca="false">IF(ISNUMBER(G384),IF(G384=0,"Match","Variance"),"Check")</f>
        <v>Match</v>
      </c>
    </row>
    <row r="385" customFormat="false" ht="15.75" hidden="false" customHeight="true" outlineLevel="0" collapsed="false">
      <c r="B385" s="2" t="s">
        <v>100</v>
      </c>
      <c r="C385" s="2" t="s">
        <v>18</v>
      </c>
      <c r="D385" s="4" t="n">
        <v>0</v>
      </c>
      <c r="E385" s="1" t="str">
        <f aca="false">B385&amp;C385</f>
        <v>3800910003</v>
      </c>
      <c r="F385" s="5" t="n">
        <f aca="false">IFERROR(VLOOKUP(E385,'Legacy Data'!$C$2:$D$1702,2,FALSE()),"No legacy match")</f>
        <v>0</v>
      </c>
      <c r="G385" s="5" t="n">
        <f aca="false">IFERROR(F385-D385,"N/A")</f>
        <v>0</v>
      </c>
      <c r="H385" s="1" t="str">
        <f aca="false">IF(ISNUMBER(G385),IF(G385=0,"Match","Variance"),"Check")</f>
        <v>Match</v>
      </c>
    </row>
    <row r="386" customFormat="false" ht="15.75" hidden="false" customHeight="true" outlineLevel="0" collapsed="false">
      <c r="B386" s="2" t="s">
        <v>100</v>
      </c>
      <c r="C386" s="2" t="s">
        <v>78</v>
      </c>
      <c r="D386" s="4" t="n">
        <v>0</v>
      </c>
      <c r="E386" s="1" t="str">
        <f aca="false">B386&amp;C386</f>
        <v>3800604000</v>
      </c>
      <c r="F386" s="5" t="n">
        <f aca="false">IFERROR(VLOOKUP(E386,'Legacy Data'!$C$2:$D$1702,2,FALSE()),"No legacy match")</f>
        <v>0</v>
      </c>
      <c r="G386" s="5" t="n">
        <f aca="false">IFERROR(F386-D386,"N/A")</f>
        <v>0</v>
      </c>
      <c r="H386" s="1" t="str">
        <f aca="false">IF(ISNUMBER(G386),IF(G386=0,"Match","Variance"),"Check")</f>
        <v>Match</v>
      </c>
    </row>
    <row r="387" customFormat="false" ht="15.75" hidden="false" customHeight="true" outlineLevel="0" collapsed="false">
      <c r="B387" s="2" t="s">
        <v>100</v>
      </c>
      <c r="C387" s="2" t="s">
        <v>19</v>
      </c>
      <c r="D387" s="4" t="n">
        <v>778948.46</v>
      </c>
      <c r="E387" s="1" t="str">
        <f aca="false">B387&amp;C387</f>
        <v>3800604040</v>
      </c>
      <c r="F387" s="5" t="n">
        <f aca="false">IFERROR(VLOOKUP(E387,'Legacy Data'!$C$2:$D$1702,2,FALSE()),"No legacy match")</f>
        <v>778948.46</v>
      </c>
      <c r="G387" s="5" t="n">
        <f aca="false">IFERROR(F387-D387,"N/A")</f>
        <v>0</v>
      </c>
      <c r="H387" s="1" t="str">
        <f aca="false">IF(ISNUMBER(G387),IF(G387=0,"Match","Variance"),"Check")</f>
        <v>Match</v>
      </c>
    </row>
    <row r="388" customFormat="false" ht="15.75" hidden="false" customHeight="true" outlineLevel="0" collapsed="false">
      <c r="B388" s="2" t="s">
        <v>100</v>
      </c>
      <c r="C388" s="2" t="s">
        <v>20</v>
      </c>
      <c r="D388" s="4" t="n">
        <v>0</v>
      </c>
      <c r="E388" s="1" t="str">
        <f aca="false">B388&amp;C388</f>
        <v>3800910001</v>
      </c>
      <c r="F388" s="5" t="n">
        <f aca="false">IFERROR(VLOOKUP(E388,'Legacy Data'!$C$2:$D$1702,2,FALSE()),"No legacy match")</f>
        <v>0</v>
      </c>
      <c r="G388" s="5" t="n">
        <f aca="false">IFERROR(F388-D388,"N/A")</f>
        <v>0</v>
      </c>
      <c r="H388" s="1" t="str">
        <f aca="false">IF(ISNUMBER(G388),IF(G388=0,"Match","Variance"),"Check")</f>
        <v>Match</v>
      </c>
    </row>
    <row r="389" customFormat="false" ht="15.75" hidden="false" customHeight="true" outlineLevel="0" collapsed="false">
      <c r="B389" s="2" t="s">
        <v>100</v>
      </c>
      <c r="C389" s="2" t="s">
        <v>22</v>
      </c>
      <c r="D389" s="4" t="n">
        <v>621658.39</v>
      </c>
      <c r="E389" s="1" t="str">
        <f aca="false">B389&amp;C389</f>
        <v>3800604010</v>
      </c>
      <c r="F389" s="5" t="n">
        <f aca="false">IFERROR(VLOOKUP(E389,'Legacy Data'!$C$2:$D$1702,2,FALSE()),"No legacy match")</f>
        <v>621658.39</v>
      </c>
      <c r="G389" s="5" t="n">
        <f aca="false">IFERROR(F389-D389,"N/A")</f>
        <v>0</v>
      </c>
      <c r="H389" s="1" t="str">
        <f aca="false">IF(ISNUMBER(G389),IF(G389=0,"Match","Variance"),"Check")</f>
        <v>Match</v>
      </c>
    </row>
    <row r="390" customFormat="false" ht="15.75" hidden="false" customHeight="true" outlineLevel="0" collapsed="false">
      <c r="B390" s="2" t="s">
        <v>100</v>
      </c>
      <c r="C390" s="2" t="s">
        <v>53</v>
      </c>
      <c r="D390" s="4" t="n">
        <v>0</v>
      </c>
      <c r="E390" s="1" t="str">
        <f aca="false">B390&amp;C390</f>
        <v>3800605020</v>
      </c>
      <c r="F390" s="5" t="n">
        <f aca="false">IFERROR(VLOOKUP(E390,'Legacy Data'!$C$2:$D$1702,2,FALSE()),"No legacy match")</f>
        <v>0</v>
      </c>
      <c r="G390" s="5" t="n">
        <f aca="false">IFERROR(F390-D390,"N/A")</f>
        <v>0</v>
      </c>
      <c r="H390" s="1" t="str">
        <f aca="false">IF(ISNUMBER(G390),IF(G390=0,"Match","Variance"),"Check")</f>
        <v>Match</v>
      </c>
    </row>
    <row r="391" customFormat="false" ht="15.75" hidden="false" customHeight="true" outlineLevel="0" collapsed="false">
      <c r="B391" s="2" t="s">
        <v>100</v>
      </c>
      <c r="C391" s="2" t="s">
        <v>23</v>
      </c>
      <c r="D391" s="4" t="n">
        <v>0</v>
      </c>
      <c r="E391" s="1" t="str">
        <f aca="false">B391&amp;C391</f>
        <v>3800608020</v>
      </c>
      <c r="F391" s="5" t="n">
        <f aca="false">IFERROR(VLOOKUP(E391,'Legacy Data'!$C$2:$D$1702,2,FALSE()),"No legacy match")</f>
        <v>0</v>
      </c>
      <c r="G391" s="5" t="n">
        <f aca="false">IFERROR(F391-D391,"N/A")</f>
        <v>0</v>
      </c>
      <c r="H391" s="1" t="str">
        <f aca="false">IF(ISNUMBER(G391),IF(G391=0,"Match","Variance"),"Check")</f>
        <v>Match</v>
      </c>
    </row>
    <row r="392" customFormat="false" ht="15.75" hidden="false" customHeight="true" outlineLevel="0" collapsed="false">
      <c r="B392" s="2" t="s">
        <v>100</v>
      </c>
      <c r="C392" s="2" t="s">
        <v>60</v>
      </c>
      <c r="D392" s="4" t="n">
        <v>518.18</v>
      </c>
      <c r="E392" s="1" t="str">
        <f aca="false">B392&amp;C392</f>
        <v>3800608040</v>
      </c>
      <c r="F392" s="5" t="n">
        <f aca="false">IFERROR(VLOOKUP(E392,'Legacy Data'!$C$2:$D$1702,2,FALSE()),"No legacy match")</f>
        <v>518.18</v>
      </c>
      <c r="G392" s="5" t="n">
        <f aca="false">IFERROR(F392-D392,"N/A")</f>
        <v>0</v>
      </c>
      <c r="H392" s="1" t="str">
        <f aca="false">IF(ISNUMBER(G392),IF(G392=0,"Match","Variance"),"Check")</f>
        <v>Match</v>
      </c>
    </row>
    <row r="393" customFormat="false" ht="15.75" hidden="false" customHeight="true" outlineLevel="0" collapsed="false">
      <c r="B393" s="2" t="s">
        <v>100</v>
      </c>
      <c r="C393" s="2" t="s">
        <v>24</v>
      </c>
      <c r="D393" s="4" t="n">
        <v>24436.87</v>
      </c>
      <c r="E393" s="1" t="str">
        <f aca="false">B393&amp;C393</f>
        <v>3800609004</v>
      </c>
      <c r="F393" s="5" t="n">
        <f aca="false">IFERROR(VLOOKUP(E393,'Legacy Data'!$C$2:$D$1702,2,FALSE()),"No legacy match")</f>
        <v>24436.87</v>
      </c>
      <c r="G393" s="5" t="n">
        <f aca="false">IFERROR(F393-D393,"N/A")</f>
        <v>0</v>
      </c>
      <c r="H393" s="1" t="str">
        <f aca="false">IF(ISNUMBER(G393),IF(G393=0,"Match","Variance"),"Check")</f>
        <v>Match</v>
      </c>
    </row>
    <row r="394" customFormat="false" ht="15.75" hidden="false" customHeight="true" outlineLevel="0" collapsed="false">
      <c r="B394" s="2" t="s">
        <v>100</v>
      </c>
      <c r="C394" s="2" t="s">
        <v>37</v>
      </c>
      <c r="D394" s="4" t="n">
        <v>123.69</v>
      </c>
      <c r="E394" s="1" t="str">
        <f aca="false">B394&amp;C394</f>
        <v>3800609008</v>
      </c>
      <c r="F394" s="5" t="n">
        <f aca="false">IFERROR(VLOOKUP(E394,'Legacy Data'!$C$2:$D$1702,2,FALSE()),"No legacy match")</f>
        <v>123.69</v>
      </c>
      <c r="G394" s="5" t="n">
        <f aca="false">IFERROR(F394-D394,"N/A")</f>
        <v>0</v>
      </c>
      <c r="H394" s="1" t="str">
        <f aca="false">IF(ISNUMBER(G394),IF(G394=0,"Match","Variance"),"Check")</f>
        <v>Match</v>
      </c>
    </row>
    <row r="395" customFormat="false" ht="15.75" hidden="false" customHeight="true" outlineLevel="0" collapsed="false">
      <c r="B395" s="2" t="s">
        <v>100</v>
      </c>
      <c r="C395" s="2" t="s">
        <v>26</v>
      </c>
      <c r="D395" s="4" t="n">
        <v>20134.91</v>
      </c>
      <c r="E395" s="1" t="str">
        <f aca="false">B395&amp;C395</f>
        <v>3800609006</v>
      </c>
      <c r="F395" s="5" t="n">
        <f aca="false">IFERROR(VLOOKUP(E395,'Legacy Data'!$C$2:$D$1702,2,FALSE()),"No legacy match")</f>
        <v>20134.91</v>
      </c>
      <c r="G395" s="5" t="n">
        <f aca="false">IFERROR(F395-D395,"N/A")</f>
        <v>0</v>
      </c>
      <c r="H395" s="1" t="str">
        <f aca="false">IF(ISNUMBER(G395),IF(G395=0,"Match","Variance"),"Check")</f>
        <v>Match</v>
      </c>
    </row>
    <row r="396" customFormat="false" ht="15.75" hidden="false" customHeight="true" outlineLevel="0" collapsed="false">
      <c r="B396" s="2" t="s">
        <v>100</v>
      </c>
      <c r="C396" s="2" t="s">
        <v>27</v>
      </c>
      <c r="D396" s="4" t="n">
        <v>1498.05</v>
      </c>
      <c r="E396" s="1" t="str">
        <f aca="false">B396&amp;C396</f>
        <v>3800609002</v>
      </c>
      <c r="F396" s="5" t="n">
        <f aca="false">IFERROR(VLOOKUP(E396,'Legacy Data'!$C$2:$D$1702,2,FALSE()),"No legacy match")</f>
        <v>1498.05</v>
      </c>
      <c r="G396" s="5" t="n">
        <f aca="false">IFERROR(F396-D396,"N/A")</f>
        <v>0</v>
      </c>
      <c r="H396" s="1" t="str">
        <f aca="false">IF(ISNUMBER(G396),IF(G396=0,"Match","Variance"),"Check")</f>
        <v>Match</v>
      </c>
    </row>
    <row r="397" customFormat="false" ht="15.75" hidden="false" customHeight="true" outlineLevel="0" collapsed="false">
      <c r="B397" s="2" t="s">
        <v>100</v>
      </c>
      <c r="C397" s="2" t="s">
        <v>28</v>
      </c>
      <c r="D397" s="4" t="n">
        <v>1495</v>
      </c>
      <c r="E397" s="1" t="str">
        <f aca="false">B397&amp;C397</f>
        <v>3800609003</v>
      </c>
      <c r="F397" s="5" t="n">
        <f aca="false">IFERROR(VLOOKUP(E397,'Legacy Data'!$C$2:$D$1702,2,FALSE()),"No legacy match")</f>
        <v>1495</v>
      </c>
      <c r="G397" s="5" t="n">
        <f aca="false">IFERROR(F397-D397,"N/A")</f>
        <v>0</v>
      </c>
      <c r="H397" s="1" t="str">
        <f aca="false">IF(ISNUMBER(G397),IF(G397=0,"Match","Variance"),"Check")</f>
        <v>Match</v>
      </c>
    </row>
    <row r="398" customFormat="false" ht="15.75" hidden="false" customHeight="true" outlineLevel="0" collapsed="false">
      <c r="B398" s="2" t="s">
        <v>100</v>
      </c>
      <c r="C398" s="2" t="s">
        <v>30</v>
      </c>
      <c r="D398" s="4" t="n">
        <v>330.59</v>
      </c>
      <c r="E398" s="1" t="str">
        <f aca="false">B398&amp;C398</f>
        <v>3800609010</v>
      </c>
      <c r="F398" s="5" t="n">
        <f aca="false">IFERROR(VLOOKUP(E398,'Legacy Data'!$C$2:$D$1702,2,FALSE()),"No legacy match")</f>
        <v>330.59</v>
      </c>
      <c r="G398" s="5" t="n">
        <f aca="false">IFERROR(F398-D398,"N/A")</f>
        <v>0</v>
      </c>
      <c r="H398" s="1" t="str">
        <f aca="false">IF(ISNUMBER(G398),IF(G398=0,"Match","Variance"),"Check")</f>
        <v>Match</v>
      </c>
    </row>
    <row r="399" customFormat="false" ht="15.75" hidden="false" customHeight="true" outlineLevel="0" collapsed="false">
      <c r="B399" s="2" t="s">
        <v>100</v>
      </c>
      <c r="C399" s="2" t="s">
        <v>31</v>
      </c>
      <c r="D399" s="4" t="n">
        <v>-18000</v>
      </c>
      <c r="E399" s="1" t="str">
        <f aca="false">B399&amp;C399</f>
        <v>3800607000</v>
      </c>
      <c r="F399" s="5" t="n">
        <f aca="false">IFERROR(VLOOKUP(E399,'Legacy Data'!$C$2:$D$1702,2,FALSE()),"No legacy match")</f>
        <v>-18000</v>
      </c>
      <c r="G399" s="5" t="n">
        <f aca="false">IFERROR(F399-D399,"N/A")</f>
        <v>0</v>
      </c>
      <c r="H399" s="1" t="str">
        <f aca="false">IF(ISNUMBER(G399),IF(G399=0,"Match","Variance"),"Check")</f>
        <v>Match</v>
      </c>
    </row>
    <row r="400" customFormat="false" ht="15.75" hidden="false" customHeight="true" outlineLevel="0" collapsed="false">
      <c r="B400" s="2" t="s">
        <v>100</v>
      </c>
      <c r="C400" s="2" t="s">
        <v>33</v>
      </c>
      <c r="D400" s="4" t="n">
        <v>264702.42</v>
      </c>
      <c r="E400" s="1" t="str">
        <f aca="false">B400&amp;C400</f>
        <v>3800604031</v>
      </c>
      <c r="F400" s="5" t="n">
        <f aca="false">IFERROR(VLOOKUP(E400,'Legacy Data'!$C$2:$D$1702,2,FALSE()),"No legacy match")</f>
        <v>264702.42</v>
      </c>
      <c r="G400" s="5" t="n">
        <f aca="false">IFERROR(F400-D400,"N/A")</f>
        <v>0</v>
      </c>
      <c r="H400" s="1" t="str">
        <f aca="false">IF(ISNUMBER(G400),IF(G400=0,"Match","Variance"),"Check")</f>
        <v>Match</v>
      </c>
    </row>
    <row r="401" customFormat="false" ht="15.75" hidden="false" customHeight="true" outlineLevel="0" collapsed="false">
      <c r="B401" s="2" t="s">
        <v>100</v>
      </c>
      <c r="C401" s="2" t="s">
        <v>34</v>
      </c>
      <c r="D401" s="4" t="n">
        <v>0</v>
      </c>
      <c r="E401" s="1" t="str">
        <f aca="false">B401&amp;C401</f>
        <v>3800910002</v>
      </c>
      <c r="F401" s="5" t="n">
        <f aca="false">IFERROR(VLOOKUP(E401,'Legacy Data'!$C$2:$D$1702,2,FALSE()),"No legacy match")</f>
        <v>0</v>
      </c>
      <c r="G401" s="5" t="n">
        <f aca="false">IFERROR(F401-D401,"N/A")</f>
        <v>0</v>
      </c>
      <c r="H401" s="1" t="str">
        <f aca="false">IF(ISNUMBER(G401),IF(G401=0,"Match","Variance"),"Check")</f>
        <v>Match</v>
      </c>
    </row>
    <row r="402" customFormat="false" ht="15.75" hidden="false" customHeight="true" outlineLevel="0" collapsed="false">
      <c r="B402" s="2" t="s">
        <v>100</v>
      </c>
      <c r="C402" s="2" t="s">
        <v>35</v>
      </c>
      <c r="D402" s="4" t="n">
        <v>0</v>
      </c>
      <c r="E402" s="1" t="str">
        <f aca="false">B402&amp;C402</f>
        <v>3800910004</v>
      </c>
      <c r="F402" s="5" t="n">
        <f aca="false">IFERROR(VLOOKUP(E402,'Legacy Data'!$C$2:$D$1702,2,FALSE()),"No legacy match")</f>
        <v>0</v>
      </c>
      <c r="G402" s="5" t="n">
        <f aca="false">IFERROR(F402-D402,"N/A")</f>
        <v>0</v>
      </c>
      <c r="H402" s="1" t="str">
        <f aca="false">IF(ISNUMBER(G402),IF(G402=0,"Match","Variance"),"Check")</f>
        <v>Match</v>
      </c>
    </row>
    <row r="403" customFormat="false" ht="15.75" hidden="false" customHeight="true" outlineLevel="0" collapsed="false">
      <c r="B403" s="2" t="s">
        <v>101</v>
      </c>
      <c r="C403" s="2" t="s">
        <v>8</v>
      </c>
      <c r="D403" s="4" t="n">
        <v>4921806.75</v>
      </c>
      <c r="E403" s="1" t="str">
        <f aca="false">B403&amp;C403</f>
        <v>3900602000</v>
      </c>
      <c r="F403" s="5" t="n">
        <f aca="false">IFERROR(VLOOKUP(E403,'Legacy Data'!$C$2:$D$1702,2,FALSE()),"No legacy match")</f>
        <v>4921806.75</v>
      </c>
      <c r="G403" s="5" t="n">
        <f aca="false">IFERROR(F403-D403,"N/A")</f>
        <v>0</v>
      </c>
      <c r="H403" s="1" t="str">
        <f aca="false">IF(ISNUMBER(G403),IF(G403=0,"Match","Variance"),"Check")</f>
        <v>Match</v>
      </c>
    </row>
    <row r="404" customFormat="false" ht="15.75" hidden="false" customHeight="true" outlineLevel="0" collapsed="false">
      <c r="B404" s="2" t="s">
        <v>101</v>
      </c>
      <c r="C404" s="2" t="s">
        <v>9</v>
      </c>
      <c r="D404" s="4" t="n">
        <v>1028.67</v>
      </c>
      <c r="E404" s="1" t="str">
        <f aca="false">B404&amp;C404</f>
        <v>3900602003</v>
      </c>
      <c r="F404" s="5" t="n">
        <f aca="false">IFERROR(VLOOKUP(E404,'Legacy Data'!$C$2:$D$1702,2,FALSE()),"No legacy match")</f>
        <v>1028.67</v>
      </c>
      <c r="G404" s="5" t="n">
        <f aca="false">IFERROR(F404-D404,"N/A")</f>
        <v>0</v>
      </c>
      <c r="H404" s="1" t="str">
        <f aca="false">IF(ISNUMBER(G404),IF(G404=0,"Match","Variance"),"Check")</f>
        <v>Match</v>
      </c>
    </row>
    <row r="405" customFormat="false" ht="15.75" hidden="false" customHeight="true" outlineLevel="0" collapsed="false">
      <c r="B405" s="2" t="s">
        <v>101</v>
      </c>
      <c r="C405" s="2" t="s">
        <v>12</v>
      </c>
      <c r="D405" s="4" t="n">
        <v>22661.64</v>
      </c>
      <c r="E405" s="1" t="str">
        <f aca="false">B405&amp;C405</f>
        <v>3900602010</v>
      </c>
      <c r="F405" s="5" t="n">
        <f aca="false">IFERROR(VLOOKUP(E405,'Legacy Data'!$C$2:$D$1702,2,FALSE()),"No legacy match")</f>
        <v>22661.64</v>
      </c>
      <c r="G405" s="5" t="n">
        <f aca="false">IFERROR(F405-D405,"N/A")</f>
        <v>0</v>
      </c>
      <c r="H405" s="1" t="str">
        <f aca="false">IF(ISNUMBER(G405),IF(G405=0,"Match","Variance"),"Check")</f>
        <v>Match</v>
      </c>
    </row>
    <row r="406" customFormat="false" ht="15.75" hidden="false" customHeight="true" outlineLevel="0" collapsed="false">
      <c r="B406" s="2" t="s">
        <v>101</v>
      </c>
      <c r="C406" s="2" t="s">
        <v>14</v>
      </c>
      <c r="D406" s="4" t="n">
        <v>1874.78</v>
      </c>
      <c r="E406" s="1" t="str">
        <f aca="false">B406&amp;C406</f>
        <v>3900602030</v>
      </c>
      <c r="F406" s="5" t="n">
        <f aca="false">IFERROR(VLOOKUP(E406,'Legacy Data'!$C$2:$D$1702,2,FALSE()),"No legacy match")</f>
        <v>1874.78</v>
      </c>
      <c r="G406" s="5" t="n">
        <f aca="false">IFERROR(F406-D406,"N/A")</f>
        <v>0</v>
      </c>
      <c r="H406" s="1" t="str">
        <f aca="false">IF(ISNUMBER(G406),IF(G406=0,"Match","Variance"),"Check")</f>
        <v>Match</v>
      </c>
    </row>
    <row r="407" customFormat="false" ht="15.75" hidden="false" customHeight="true" outlineLevel="0" collapsed="false">
      <c r="B407" s="2" t="s">
        <v>101</v>
      </c>
      <c r="C407" s="2" t="s">
        <v>42</v>
      </c>
      <c r="D407" s="4" t="n">
        <v>142026.34</v>
      </c>
      <c r="E407" s="1" t="str">
        <f aca="false">B407&amp;C407</f>
        <v>3900602040</v>
      </c>
      <c r="F407" s="5" t="n">
        <f aca="false">IFERROR(VLOOKUP(E407,'Legacy Data'!$C$2:$D$1702,2,FALSE()),"No legacy match")</f>
        <v>142026.34</v>
      </c>
      <c r="G407" s="5" t="n">
        <f aca="false">IFERROR(F407-D407,"N/A")</f>
        <v>0</v>
      </c>
      <c r="H407" s="1" t="str">
        <f aca="false">IF(ISNUMBER(G407),IF(G407=0,"Match","Variance"),"Check")</f>
        <v>Match</v>
      </c>
    </row>
    <row r="408" customFormat="false" ht="15.75" hidden="false" customHeight="true" outlineLevel="0" collapsed="false">
      <c r="B408" s="2" t="s">
        <v>101</v>
      </c>
      <c r="C408" s="2" t="s">
        <v>16</v>
      </c>
      <c r="D408" s="4" t="n">
        <v>311875.52</v>
      </c>
      <c r="E408" s="1" t="str">
        <f aca="false">B408&amp;C408</f>
        <v>3900602072</v>
      </c>
      <c r="F408" s="5" t="n">
        <f aca="false">IFERROR(VLOOKUP(E408,'Legacy Data'!$C$2:$D$1702,2,FALSE()),"No legacy match")</f>
        <v>311875.52</v>
      </c>
      <c r="G408" s="5" t="n">
        <f aca="false">IFERROR(F408-D408,"N/A")</f>
        <v>0</v>
      </c>
      <c r="H408" s="1" t="str">
        <f aca="false">IF(ISNUMBER(G408),IF(G408=0,"Match","Variance"),"Check")</f>
        <v>Match</v>
      </c>
    </row>
    <row r="409" customFormat="false" ht="15.75" hidden="false" customHeight="true" outlineLevel="0" collapsed="false">
      <c r="B409" s="2" t="s">
        <v>101</v>
      </c>
      <c r="C409" s="2" t="s">
        <v>46</v>
      </c>
      <c r="D409" s="4" t="n">
        <v>-22.08</v>
      </c>
      <c r="E409" s="1" t="str">
        <f aca="false">B409&amp;C409</f>
        <v>3900602073</v>
      </c>
      <c r="F409" s="5" t="n">
        <f aca="false">IFERROR(VLOOKUP(E409,'Legacy Data'!$C$2:$D$1702,2,FALSE()),"No legacy match")</f>
        <v>-22.08</v>
      </c>
      <c r="G409" s="5" t="n">
        <f aca="false">IFERROR(F409-D409,"N/A")</f>
        <v>0</v>
      </c>
      <c r="H409" s="1" t="str">
        <f aca="false">IF(ISNUMBER(G409),IF(G409=0,"Match","Variance"),"Check")</f>
        <v>Match</v>
      </c>
    </row>
    <row r="410" customFormat="false" ht="15.75" hidden="false" customHeight="true" outlineLevel="0" collapsed="false">
      <c r="B410" s="2" t="s">
        <v>101</v>
      </c>
      <c r="C410" s="2" t="s">
        <v>17</v>
      </c>
      <c r="D410" s="4" t="n">
        <v>635024.27</v>
      </c>
      <c r="E410" s="1" t="str">
        <f aca="false">B410&amp;C410</f>
        <v>3900603000</v>
      </c>
      <c r="F410" s="5" t="n">
        <f aca="false">IFERROR(VLOOKUP(E410,'Legacy Data'!$C$2:$D$1702,2,FALSE()),"No legacy match")</f>
        <v>635024.27</v>
      </c>
      <c r="G410" s="5" t="n">
        <f aca="false">IFERROR(F410-D410,"N/A")</f>
        <v>0</v>
      </c>
      <c r="H410" s="1" t="str">
        <f aca="false">IF(ISNUMBER(G410),IF(G410=0,"Match","Variance"),"Check")</f>
        <v>Match</v>
      </c>
    </row>
    <row r="411" customFormat="false" ht="15.75" hidden="false" customHeight="true" outlineLevel="0" collapsed="false">
      <c r="B411" s="2" t="s">
        <v>101</v>
      </c>
      <c r="C411" s="2" t="s">
        <v>71</v>
      </c>
      <c r="D411" s="4" t="n">
        <v>70300</v>
      </c>
      <c r="E411" s="1" t="str">
        <f aca="false">B411&amp;C411</f>
        <v>3900603001</v>
      </c>
      <c r="F411" s="5" t="n">
        <f aca="false">IFERROR(VLOOKUP(E411,'Legacy Data'!$C$2:$D$1702,2,FALSE()),"No legacy match")</f>
        <v>70300</v>
      </c>
      <c r="G411" s="5" t="n">
        <f aca="false">IFERROR(F411-D411,"N/A")</f>
        <v>0</v>
      </c>
      <c r="H411" s="1" t="str">
        <f aca="false">IF(ISNUMBER(G411),IF(G411=0,"Match","Variance"),"Check")</f>
        <v>Match</v>
      </c>
    </row>
    <row r="412" customFormat="false" ht="15.75" hidden="false" customHeight="true" outlineLevel="0" collapsed="false">
      <c r="B412" s="2" t="s">
        <v>101</v>
      </c>
      <c r="C412" s="2" t="s">
        <v>102</v>
      </c>
      <c r="D412" s="4" t="n">
        <v>60718.33</v>
      </c>
      <c r="E412" s="1" t="str">
        <f aca="false">B412&amp;C412</f>
        <v>3900604001</v>
      </c>
      <c r="F412" s="5" t="n">
        <f aca="false">IFERROR(VLOOKUP(E412,'Legacy Data'!$C$2:$D$1702,2,FALSE()),"No legacy match")</f>
        <v>60718.33</v>
      </c>
      <c r="G412" s="5" t="n">
        <f aca="false">IFERROR(F412-D412,"N/A")</f>
        <v>0</v>
      </c>
      <c r="H412" s="1" t="str">
        <f aca="false">IF(ISNUMBER(G412),IF(G412=0,"Match","Variance"),"Check")</f>
        <v>Match</v>
      </c>
    </row>
    <row r="413" customFormat="false" ht="15.75" hidden="false" customHeight="true" outlineLevel="0" collapsed="false">
      <c r="B413" s="2" t="s">
        <v>101</v>
      </c>
      <c r="C413" s="2" t="s">
        <v>19</v>
      </c>
      <c r="D413" s="4" t="n">
        <v>383369.14</v>
      </c>
      <c r="E413" s="1" t="str">
        <f aca="false">B413&amp;C413</f>
        <v>3900604040</v>
      </c>
      <c r="F413" s="5" t="n">
        <f aca="false">IFERROR(VLOOKUP(E413,'Legacy Data'!$C$2:$D$1702,2,FALSE()),"No legacy match")</f>
        <v>383369.14</v>
      </c>
      <c r="G413" s="5" t="n">
        <f aca="false">IFERROR(F413-D413,"N/A")</f>
        <v>0</v>
      </c>
      <c r="H413" s="1" t="str">
        <f aca="false">IF(ISNUMBER(G413),IF(G413=0,"Match","Variance"),"Check")</f>
        <v>Match</v>
      </c>
    </row>
    <row r="414" customFormat="false" ht="15.75" hidden="false" customHeight="true" outlineLevel="0" collapsed="false">
      <c r="B414" s="2" t="s">
        <v>101</v>
      </c>
      <c r="C414" s="2" t="s">
        <v>50</v>
      </c>
      <c r="D414" s="4" t="n">
        <v>201745.14</v>
      </c>
      <c r="E414" s="1" t="str">
        <f aca="false">B414&amp;C414</f>
        <v>3900604060</v>
      </c>
      <c r="F414" s="5" t="n">
        <f aca="false">IFERROR(VLOOKUP(E414,'Legacy Data'!$C$2:$D$1702,2,FALSE()),"No legacy match")</f>
        <v>201745.14</v>
      </c>
      <c r="G414" s="5" t="n">
        <f aca="false">IFERROR(F414-D414,"N/A")</f>
        <v>0</v>
      </c>
      <c r="H414" s="1" t="str">
        <f aca="false">IF(ISNUMBER(G414),IF(G414=0,"Match","Variance"),"Check")</f>
        <v>Match</v>
      </c>
    </row>
    <row r="415" customFormat="false" ht="15.75" hidden="false" customHeight="true" outlineLevel="0" collapsed="false">
      <c r="B415" s="2" t="s">
        <v>101</v>
      </c>
      <c r="C415" s="2" t="s">
        <v>23</v>
      </c>
      <c r="D415" s="4" t="n">
        <v>97183.32</v>
      </c>
      <c r="E415" s="1" t="str">
        <f aca="false">B415&amp;C415</f>
        <v>3900608020</v>
      </c>
      <c r="F415" s="5" t="n">
        <f aca="false">IFERROR(VLOOKUP(E415,'Legacy Data'!$C$2:$D$1702,2,FALSE()),"No legacy match")</f>
        <v>97183.32</v>
      </c>
      <c r="G415" s="5" t="n">
        <f aca="false">IFERROR(F415-D415,"N/A")</f>
        <v>0</v>
      </c>
      <c r="H415" s="1" t="str">
        <f aca="false">IF(ISNUMBER(G415),IF(G415=0,"Match","Variance"),"Check")</f>
        <v>Match</v>
      </c>
    </row>
    <row r="416" customFormat="false" ht="15.75" hidden="false" customHeight="true" outlineLevel="0" collapsed="false">
      <c r="B416" s="2" t="s">
        <v>101</v>
      </c>
      <c r="C416" s="2" t="s">
        <v>61</v>
      </c>
      <c r="D416" s="4" t="n">
        <v>35637.58</v>
      </c>
      <c r="E416" s="1" t="str">
        <f aca="false">B416&amp;C416</f>
        <v>3900608000</v>
      </c>
      <c r="F416" s="5" t="n">
        <f aca="false">IFERROR(VLOOKUP(E416,'Legacy Data'!$C$2:$D$1702,2,FALSE()),"No legacy match")</f>
        <v>35637.58</v>
      </c>
      <c r="G416" s="5" t="n">
        <f aca="false">IFERROR(F416-D416,"N/A")</f>
        <v>0</v>
      </c>
      <c r="H416" s="1" t="str">
        <f aca="false">IF(ISNUMBER(G416),IF(G416=0,"Match","Variance"),"Check")</f>
        <v>Match</v>
      </c>
    </row>
    <row r="417" customFormat="false" ht="15.75" hidden="false" customHeight="true" outlineLevel="0" collapsed="false">
      <c r="B417" s="2" t="s">
        <v>101</v>
      </c>
      <c r="C417" s="2" t="s">
        <v>24</v>
      </c>
      <c r="D417" s="4" t="n">
        <v>5211.07</v>
      </c>
      <c r="E417" s="1" t="str">
        <f aca="false">B417&amp;C417</f>
        <v>3900609004</v>
      </c>
      <c r="F417" s="5" t="n">
        <f aca="false">IFERROR(VLOOKUP(E417,'Legacy Data'!$C$2:$D$1702,2,FALSE()),"No legacy match")</f>
        <v>5211.07</v>
      </c>
      <c r="G417" s="5" t="n">
        <f aca="false">IFERROR(F417-D417,"N/A")</f>
        <v>0</v>
      </c>
      <c r="H417" s="1" t="str">
        <f aca="false">IF(ISNUMBER(G417),IF(G417=0,"Match","Variance"),"Check")</f>
        <v>Match</v>
      </c>
    </row>
    <row r="418" customFormat="false" ht="15.75" hidden="false" customHeight="true" outlineLevel="0" collapsed="false">
      <c r="B418" s="2" t="s">
        <v>101</v>
      </c>
      <c r="C418" s="2" t="s">
        <v>37</v>
      </c>
      <c r="D418" s="4" t="n">
        <v>4549.86</v>
      </c>
      <c r="E418" s="1" t="str">
        <f aca="false">B418&amp;C418</f>
        <v>3900609008</v>
      </c>
      <c r="F418" s="5" t="n">
        <f aca="false">IFERROR(VLOOKUP(E418,'Legacy Data'!$C$2:$D$1702,2,FALSE()),"No legacy match")</f>
        <v>4549.86</v>
      </c>
      <c r="G418" s="5" t="n">
        <f aca="false">IFERROR(F418-D418,"N/A")</f>
        <v>0</v>
      </c>
      <c r="H418" s="1" t="str">
        <f aca="false">IF(ISNUMBER(G418),IF(G418=0,"Match","Variance"),"Check")</f>
        <v>Match</v>
      </c>
    </row>
    <row r="419" customFormat="false" ht="15.75" hidden="false" customHeight="true" outlineLevel="0" collapsed="false">
      <c r="B419" s="2" t="s">
        <v>101</v>
      </c>
      <c r="C419" s="2" t="s">
        <v>25</v>
      </c>
      <c r="D419" s="4" t="n">
        <v>21957.8</v>
      </c>
      <c r="E419" s="1" t="str">
        <f aca="false">B419&amp;C419</f>
        <v>3900609005</v>
      </c>
      <c r="F419" s="5" t="n">
        <f aca="false">IFERROR(VLOOKUP(E419,'Legacy Data'!$C$2:$D$1702,2,FALSE()),"No legacy match")</f>
        <v>21957.8</v>
      </c>
      <c r="G419" s="5" t="n">
        <f aca="false">IFERROR(F419-D419,"N/A")</f>
        <v>0</v>
      </c>
      <c r="H419" s="1" t="str">
        <f aca="false">IF(ISNUMBER(G419),IF(G419=0,"Match","Variance"),"Check")</f>
        <v>Match</v>
      </c>
    </row>
    <row r="420" customFormat="false" ht="15.75" hidden="false" customHeight="true" outlineLevel="0" collapsed="false">
      <c r="B420" s="2" t="s">
        <v>101</v>
      </c>
      <c r="C420" s="2" t="s">
        <v>26</v>
      </c>
      <c r="D420" s="4" t="n">
        <v>594316.66</v>
      </c>
      <c r="E420" s="1" t="str">
        <f aca="false">B420&amp;C420</f>
        <v>3900609006</v>
      </c>
      <c r="F420" s="5" t="n">
        <f aca="false">IFERROR(VLOOKUP(E420,'Legacy Data'!$C$2:$D$1702,2,FALSE()),"No legacy match")</f>
        <v>594316.66</v>
      </c>
      <c r="G420" s="5" t="n">
        <f aca="false">IFERROR(F420-D420,"N/A")</f>
        <v>0</v>
      </c>
      <c r="H420" s="1" t="str">
        <f aca="false">IF(ISNUMBER(G420),IF(G420=0,"Match","Variance"),"Check")</f>
        <v>Match</v>
      </c>
    </row>
    <row r="421" customFormat="false" ht="15.75" hidden="false" customHeight="true" outlineLevel="0" collapsed="false">
      <c r="B421" s="2" t="s">
        <v>101</v>
      </c>
      <c r="C421" s="2" t="s">
        <v>80</v>
      </c>
      <c r="D421" s="4" t="n">
        <v>483302.12</v>
      </c>
      <c r="E421" s="1" t="str">
        <f aca="false">B421&amp;C421</f>
        <v>3900609007</v>
      </c>
      <c r="F421" s="5" t="n">
        <f aca="false">IFERROR(VLOOKUP(E421,'Legacy Data'!$C$2:$D$1702,2,FALSE()),"No legacy match")</f>
        <v>483302.12</v>
      </c>
      <c r="G421" s="5" t="n">
        <f aca="false">IFERROR(F421-D421,"N/A")</f>
        <v>0</v>
      </c>
      <c r="H421" s="1" t="str">
        <f aca="false">IF(ISNUMBER(G421),IF(G421=0,"Match","Variance"),"Check")</f>
        <v>Match</v>
      </c>
    </row>
    <row r="422" customFormat="false" ht="15.75" hidden="false" customHeight="true" outlineLevel="0" collapsed="false">
      <c r="B422" s="2" t="s">
        <v>101</v>
      </c>
      <c r="C422" s="2" t="s">
        <v>27</v>
      </c>
      <c r="D422" s="4" t="n">
        <v>196316.6</v>
      </c>
      <c r="E422" s="1" t="str">
        <f aca="false">B422&amp;C422</f>
        <v>3900609002</v>
      </c>
      <c r="F422" s="5" t="n">
        <f aca="false">IFERROR(VLOOKUP(E422,'Legacy Data'!$C$2:$D$1702,2,FALSE()),"No legacy match")</f>
        <v>196316.6</v>
      </c>
      <c r="G422" s="5" t="n">
        <f aca="false">IFERROR(F422-D422,"N/A")</f>
        <v>0</v>
      </c>
      <c r="H422" s="1" t="str">
        <f aca="false">IF(ISNUMBER(G422),IF(G422=0,"Match","Variance"),"Check")</f>
        <v>Match</v>
      </c>
    </row>
    <row r="423" customFormat="false" ht="15.75" hidden="false" customHeight="true" outlineLevel="0" collapsed="false">
      <c r="B423" s="2" t="s">
        <v>101</v>
      </c>
      <c r="C423" s="2" t="s">
        <v>28</v>
      </c>
      <c r="D423" s="4" t="n">
        <v>21434.27</v>
      </c>
      <c r="E423" s="1" t="str">
        <f aca="false">B423&amp;C423</f>
        <v>3900609003</v>
      </c>
      <c r="F423" s="5" t="n">
        <f aca="false">IFERROR(VLOOKUP(E423,'Legacy Data'!$C$2:$D$1702,2,FALSE()),"No legacy match")</f>
        <v>21434.27</v>
      </c>
      <c r="G423" s="5" t="n">
        <f aca="false">IFERROR(F423-D423,"N/A")</f>
        <v>0</v>
      </c>
      <c r="H423" s="1" t="str">
        <f aca="false">IF(ISNUMBER(G423),IF(G423=0,"Match","Variance"),"Check")</f>
        <v>Match</v>
      </c>
    </row>
    <row r="424" customFormat="false" ht="15.75" hidden="false" customHeight="true" outlineLevel="0" collapsed="false">
      <c r="B424" s="2" t="s">
        <v>101</v>
      </c>
      <c r="C424" s="2" t="s">
        <v>29</v>
      </c>
      <c r="D424" s="4" t="n">
        <v>1190.38</v>
      </c>
      <c r="E424" s="1" t="str">
        <f aca="false">B424&amp;C424</f>
        <v>3900609009</v>
      </c>
      <c r="F424" s="5" t="n">
        <f aca="false">IFERROR(VLOOKUP(E424,'Legacy Data'!$C$2:$D$1702,2,FALSE()),"No legacy match")</f>
        <v>1190.38</v>
      </c>
      <c r="G424" s="5" t="n">
        <f aca="false">IFERROR(F424-D424,"N/A")</f>
        <v>0</v>
      </c>
      <c r="H424" s="1" t="str">
        <f aca="false">IF(ISNUMBER(G424),IF(G424=0,"Match","Variance"),"Check")</f>
        <v>Match</v>
      </c>
    </row>
    <row r="425" customFormat="false" ht="15.75" hidden="false" customHeight="true" outlineLevel="0" collapsed="false">
      <c r="B425" s="2" t="s">
        <v>101</v>
      </c>
      <c r="C425" s="2" t="s">
        <v>30</v>
      </c>
      <c r="D425" s="4" t="n">
        <v>7087.54</v>
      </c>
      <c r="E425" s="1" t="str">
        <f aca="false">B425&amp;C425</f>
        <v>3900609010</v>
      </c>
      <c r="F425" s="5" t="n">
        <f aca="false">IFERROR(VLOOKUP(E425,'Legacy Data'!$C$2:$D$1702,2,FALSE()),"No legacy match")</f>
        <v>7087.54</v>
      </c>
      <c r="G425" s="5" t="n">
        <f aca="false">IFERROR(F425-D425,"N/A")</f>
        <v>0</v>
      </c>
      <c r="H425" s="1" t="str">
        <f aca="false">IF(ISNUMBER(G425),IF(G425=0,"Match","Variance"),"Check")</f>
        <v>Match</v>
      </c>
    </row>
    <row r="426" customFormat="false" ht="15.75" hidden="false" customHeight="true" outlineLevel="0" collapsed="false">
      <c r="B426" s="2" t="s">
        <v>101</v>
      </c>
      <c r="C426" s="2" t="s">
        <v>31</v>
      </c>
      <c r="D426" s="4" t="n">
        <v>144674.84</v>
      </c>
      <c r="E426" s="1" t="str">
        <f aca="false">B426&amp;C426</f>
        <v>3900607000</v>
      </c>
      <c r="F426" s="5" t="n">
        <f aca="false">IFERROR(VLOOKUP(E426,'Legacy Data'!$C$2:$D$1702,2,FALSE()),"No legacy match")</f>
        <v>144674.84</v>
      </c>
      <c r="G426" s="5" t="n">
        <f aca="false">IFERROR(F426-D426,"N/A")</f>
        <v>0</v>
      </c>
      <c r="H426" s="1" t="str">
        <f aca="false">IF(ISNUMBER(G426),IF(G426=0,"Match","Variance"),"Check")</f>
        <v>Match</v>
      </c>
    </row>
    <row r="427" customFormat="false" ht="15.75" hidden="false" customHeight="true" outlineLevel="0" collapsed="false">
      <c r="B427" s="2" t="s">
        <v>101</v>
      </c>
      <c r="C427" s="2" t="s">
        <v>32</v>
      </c>
      <c r="D427" s="4" t="n">
        <v>3314579.81</v>
      </c>
      <c r="E427" s="1" t="str">
        <f aca="false">B427&amp;C427</f>
        <v>3900607010</v>
      </c>
      <c r="F427" s="5" t="n">
        <f aca="false">IFERROR(VLOOKUP(E427,'Legacy Data'!$C$2:$D$1702,2,FALSE()),"No legacy match")</f>
        <v>3314579.81</v>
      </c>
      <c r="G427" s="5" t="n">
        <f aca="false">IFERROR(F427-D427,"N/A")</f>
        <v>0</v>
      </c>
      <c r="H427" s="1" t="str">
        <f aca="false">IF(ISNUMBER(G427),IF(G427=0,"Match","Variance"),"Check")</f>
        <v>Match</v>
      </c>
    </row>
    <row r="428" customFormat="false" ht="15.75" hidden="false" customHeight="true" outlineLevel="0" collapsed="false">
      <c r="B428" s="2" t="s">
        <v>101</v>
      </c>
      <c r="C428" s="2" t="s">
        <v>33</v>
      </c>
      <c r="D428" s="4" t="n">
        <v>0</v>
      </c>
      <c r="E428" s="1" t="str">
        <f aca="false">B428&amp;C428</f>
        <v>3900604031</v>
      </c>
      <c r="F428" s="5" t="n">
        <f aca="false">IFERROR(VLOOKUP(E428,'Legacy Data'!$C$2:$D$1702,2,FALSE()),"No legacy match")</f>
        <v>0</v>
      </c>
      <c r="G428" s="5" t="n">
        <f aca="false">IFERROR(F428-D428,"N/A")</f>
        <v>0</v>
      </c>
      <c r="H428" s="1" t="str">
        <f aca="false">IF(ISNUMBER(G428),IF(G428=0,"Match","Variance"),"Check")</f>
        <v>Match</v>
      </c>
    </row>
    <row r="429" customFormat="false" ht="15.75" hidden="false" customHeight="true" outlineLevel="0" collapsed="false">
      <c r="B429" s="2" t="s">
        <v>101</v>
      </c>
      <c r="C429" s="2" t="s">
        <v>34</v>
      </c>
      <c r="D429" s="4" t="n">
        <v>0</v>
      </c>
      <c r="E429" s="1" t="str">
        <f aca="false">B429&amp;C429</f>
        <v>3900910002</v>
      </c>
      <c r="F429" s="5" t="n">
        <f aca="false">IFERROR(VLOOKUP(E429,'Legacy Data'!$C$2:$D$1702,2,FALSE()),"No legacy match")</f>
        <v>0</v>
      </c>
      <c r="G429" s="5" t="n">
        <f aca="false">IFERROR(F429-D429,"N/A")</f>
        <v>0</v>
      </c>
      <c r="H429" s="1" t="str">
        <f aca="false">IF(ISNUMBER(G429),IF(G429=0,"Match","Variance"),"Check")</f>
        <v>Match</v>
      </c>
    </row>
    <row r="430" customFormat="false" ht="15.75" hidden="false" customHeight="true" outlineLevel="0" collapsed="false">
      <c r="B430" s="2" t="s">
        <v>103</v>
      </c>
      <c r="C430" s="2" t="s">
        <v>24</v>
      </c>
      <c r="D430" s="4" t="n">
        <v>2651.98</v>
      </c>
      <c r="E430" s="1" t="str">
        <f aca="false">B430&amp;C430</f>
        <v>5120609004</v>
      </c>
      <c r="F430" s="5" t="n">
        <f aca="false">IFERROR(VLOOKUP(E430,'Legacy Data'!$C$2:$D$1702,2,FALSE()),"No legacy match")</f>
        <v>2651.98</v>
      </c>
      <c r="G430" s="5" t="n">
        <f aca="false">IFERROR(F430-D430,"N/A")</f>
        <v>0</v>
      </c>
      <c r="H430" s="1" t="str">
        <f aca="false">IF(ISNUMBER(G430),IF(G430=0,"Match","Variance"),"Check")</f>
        <v>Match</v>
      </c>
    </row>
    <row r="431" customFormat="false" ht="15.75" hidden="false" customHeight="true" outlineLevel="0" collapsed="false">
      <c r="B431" s="2" t="s">
        <v>103</v>
      </c>
      <c r="C431" s="2" t="s">
        <v>27</v>
      </c>
      <c r="D431" s="4" t="n">
        <v>0.38</v>
      </c>
      <c r="E431" s="1" t="str">
        <f aca="false">B431&amp;C431</f>
        <v>5120609002</v>
      </c>
      <c r="F431" s="5" t="n">
        <f aca="false">IFERROR(VLOOKUP(E431,'Legacy Data'!$C$2:$D$1702,2,FALSE()),"No legacy match")</f>
        <v>0.38</v>
      </c>
      <c r="G431" s="5" t="n">
        <f aca="false">IFERROR(F431-D431,"N/A")</f>
        <v>0</v>
      </c>
      <c r="H431" s="1" t="str">
        <f aca="false">IF(ISNUMBER(G431),IF(G431=0,"Match","Variance"),"Check")</f>
        <v>Match</v>
      </c>
    </row>
    <row r="432" customFormat="false" ht="15.75" hidden="false" customHeight="true" outlineLevel="0" collapsed="false">
      <c r="B432" s="2" t="s">
        <v>103</v>
      </c>
      <c r="C432" s="2" t="s">
        <v>104</v>
      </c>
      <c r="D432" s="4" t="n">
        <v>3404225.77</v>
      </c>
      <c r="E432" s="1" t="str">
        <f aca="false">B432&amp;C432</f>
        <v>5120607030</v>
      </c>
      <c r="F432" s="5" t="n">
        <f aca="false">IFERROR(VLOOKUP(E432,'Legacy Data'!$C$2:$D$1702,2,FALSE()),"No legacy match")</f>
        <v>3404225.77</v>
      </c>
      <c r="G432" s="5" t="n">
        <f aca="false">IFERROR(F432-D432,"N/A")</f>
        <v>0</v>
      </c>
      <c r="H432" s="1" t="str">
        <f aca="false">IF(ISNUMBER(G432),IF(G432=0,"Match","Variance"),"Check")</f>
        <v>Match</v>
      </c>
    </row>
    <row r="433" customFormat="false" ht="15.75" hidden="false" customHeight="true" outlineLevel="0" collapsed="false">
      <c r="B433" s="2" t="s">
        <v>103</v>
      </c>
      <c r="C433" s="2" t="s">
        <v>35</v>
      </c>
      <c r="D433" s="4" t="n">
        <v>0</v>
      </c>
      <c r="E433" s="1" t="str">
        <f aca="false">B433&amp;C433</f>
        <v>5120910004</v>
      </c>
      <c r="F433" s="5" t="n">
        <f aca="false">IFERROR(VLOOKUP(E433,'Legacy Data'!$C$2:$D$1702,2,FALSE()),"No legacy match")</f>
        <v>0</v>
      </c>
      <c r="G433" s="5" t="n">
        <f aca="false">IFERROR(F433-D433,"N/A")</f>
        <v>0</v>
      </c>
      <c r="H433" s="1" t="str">
        <f aca="false">IF(ISNUMBER(G433),IF(G433=0,"Match","Variance"),"Check")</f>
        <v>Match</v>
      </c>
    </row>
    <row r="434" customFormat="false" ht="15.75" hidden="false" customHeight="true" outlineLevel="0" collapsed="false">
      <c r="B434" s="2" t="s">
        <v>105</v>
      </c>
      <c r="C434" s="2" t="s">
        <v>24</v>
      </c>
      <c r="D434" s="4" t="n">
        <v>36422.78</v>
      </c>
      <c r="E434" s="1" t="str">
        <f aca="false">B434&amp;C434</f>
        <v>5450609004</v>
      </c>
      <c r="F434" s="5" t="n">
        <f aca="false">IFERROR(VLOOKUP(E434,'Legacy Data'!$C$2:$D$1702,2,FALSE()),"No legacy match")</f>
        <v>36422.78</v>
      </c>
      <c r="G434" s="5" t="n">
        <f aca="false">IFERROR(F434-D434,"N/A")</f>
        <v>0</v>
      </c>
      <c r="H434" s="1" t="str">
        <f aca="false">IF(ISNUMBER(G434),IF(G434=0,"Match","Variance"),"Check")</f>
        <v>Match</v>
      </c>
    </row>
    <row r="435" customFormat="false" ht="15.75" hidden="false" customHeight="true" outlineLevel="0" collapsed="false">
      <c r="B435" s="2" t="s">
        <v>105</v>
      </c>
      <c r="C435" s="2" t="s">
        <v>27</v>
      </c>
      <c r="D435" s="4" t="n">
        <v>-0.45</v>
      </c>
      <c r="E435" s="1" t="str">
        <f aca="false">B435&amp;C435</f>
        <v>5450609002</v>
      </c>
      <c r="F435" s="5" t="n">
        <f aca="false">IFERROR(VLOOKUP(E435,'Legacy Data'!$C$2:$D$1702,2,FALSE()),"No legacy match")</f>
        <v>-0.45</v>
      </c>
      <c r="G435" s="5" t="n">
        <f aca="false">IFERROR(F435-D435,"N/A")</f>
        <v>0</v>
      </c>
      <c r="H435" s="1" t="str">
        <f aca="false">IF(ISNUMBER(G435),IF(G435=0,"Match","Variance"),"Check")</f>
        <v>Match</v>
      </c>
    </row>
    <row r="436" customFormat="false" ht="15.75" hidden="false" customHeight="true" outlineLevel="0" collapsed="false">
      <c r="B436" s="2" t="s">
        <v>106</v>
      </c>
      <c r="C436" s="2" t="s">
        <v>15</v>
      </c>
      <c r="D436" s="4" t="n">
        <v>24323.6</v>
      </c>
      <c r="E436" s="1" t="str">
        <f aca="false">B436&amp;C436</f>
        <v>5500602070</v>
      </c>
      <c r="F436" s="5" t="n">
        <f aca="false">IFERROR(VLOOKUP(E436,'Legacy Data'!$C$2:$D$1702,2,FALSE()),"No legacy match")</f>
        <v>24323.6</v>
      </c>
      <c r="G436" s="5" t="n">
        <f aca="false">IFERROR(F436-D436,"N/A")</f>
        <v>0</v>
      </c>
      <c r="H436" s="1" t="str">
        <f aca="false">IF(ISNUMBER(G436),IF(G436=0,"Match","Variance"),"Check")</f>
        <v>Match</v>
      </c>
    </row>
    <row r="437" customFormat="false" ht="15.75" hidden="false" customHeight="true" outlineLevel="0" collapsed="false">
      <c r="B437" s="2" t="s">
        <v>106</v>
      </c>
      <c r="C437" s="2" t="s">
        <v>19</v>
      </c>
      <c r="D437" s="4" t="n">
        <v>361430.98</v>
      </c>
      <c r="E437" s="1" t="str">
        <f aca="false">B437&amp;C437</f>
        <v>5500604040</v>
      </c>
      <c r="F437" s="5" t="n">
        <f aca="false">IFERROR(VLOOKUP(E437,'Legacy Data'!$C$2:$D$1702,2,FALSE()),"No legacy match")</f>
        <v>361430.98</v>
      </c>
      <c r="G437" s="5" t="n">
        <f aca="false">IFERROR(F437-D437,"N/A")</f>
        <v>0</v>
      </c>
      <c r="H437" s="1" t="str">
        <f aca="false">IF(ISNUMBER(G437),IF(G437=0,"Match","Variance"),"Check")</f>
        <v>Match</v>
      </c>
    </row>
    <row r="438" customFormat="false" ht="15.75" hidden="false" customHeight="true" outlineLevel="0" collapsed="false">
      <c r="B438" s="2" t="s">
        <v>106</v>
      </c>
      <c r="C438" s="2" t="s">
        <v>20</v>
      </c>
      <c r="D438" s="4" t="n">
        <v>0</v>
      </c>
      <c r="E438" s="1" t="str">
        <f aca="false">B438&amp;C438</f>
        <v>5500910001</v>
      </c>
      <c r="F438" s="5" t="n">
        <f aca="false">IFERROR(VLOOKUP(E438,'Legacy Data'!$C$2:$D$1702,2,FALSE()),"No legacy match")</f>
        <v>0</v>
      </c>
      <c r="G438" s="5" t="n">
        <f aca="false">IFERROR(F438-D438,"N/A")</f>
        <v>0</v>
      </c>
      <c r="H438" s="1" t="str">
        <f aca="false">IF(ISNUMBER(G438),IF(G438=0,"Match","Variance"),"Check")</f>
        <v>Match</v>
      </c>
    </row>
    <row r="439" customFormat="false" ht="15.75" hidden="false" customHeight="true" outlineLevel="0" collapsed="false">
      <c r="B439" s="2" t="s">
        <v>106</v>
      </c>
      <c r="C439" s="2" t="s">
        <v>61</v>
      </c>
      <c r="D439" s="4" t="n">
        <v>229</v>
      </c>
      <c r="E439" s="1" t="str">
        <f aca="false">B439&amp;C439</f>
        <v>5500608000</v>
      </c>
      <c r="F439" s="5" t="n">
        <f aca="false">IFERROR(VLOOKUP(E439,'Legacy Data'!$C$2:$D$1702,2,FALSE()),"No legacy match")</f>
        <v>229</v>
      </c>
      <c r="G439" s="5" t="n">
        <f aca="false">IFERROR(F439-D439,"N/A")</f>
        <v>0</v>
      </c>
      <c r="H439" s="1" t="str">
        <f aca="false">IF(ISNUMBER(G439),IF(G439=0,"Match","Variance"),"Check")</f>
        <v>Match</v>
      </c>
    </row>
    <row r="440" customFormat="false" ht="15.75" hidden="false" customHeight="true" outlineLevel="0" collapsed="false">
      <c r="B440" s="2" t="s">
        <v>106</v>
      </c>
      <c r="C440" s="2" t="s">
        <v>24</v>
      </c>
      <c r="D440" s="4" t="n">
        <v>326.5</v>
      </c>
      <c r="E440" s="1" t="str">
        <f aca="false">B440&amp;C440</f>
        <v>5500609004</v>
      </c>
      <c r="F440" s="5" t="n">
        <f aca="false">IFERROR(VLOOKUP(E440,'Legacy Data'!$C$2:$D$1702,2,FALSE()),"No legacy match")</f>
        <v>326.5</v>
      </c>
      <c r="G440" s="5" t="n">
        <f aca="false">IFERROR(F440-D440,"N/A")</f>
        <v>0</v>
      </c>
      <c r="H440" s="1" t="str">
        <f aca="false">IF(ISNUMBER(G440),IF(G440=0,"Match","Variance"),"Check")</f>
        <v>Match</v>
      </c>
    </row>
    <row r="441" customFormat="false" ht="15.75" hidden="false" customHeight="true" outlineLevel="0" collapsed="false">
      <c r="B441" s="2" t="s">
        <v>106</v>
      </c>
      <c r="C441" s="2" t="s">
        <v>25</v>
      </c>
      <c r="D441" s="4" t="n">
        <v>26456.4</v>
      </c>
      <c r="E441" s="1" t="str">
        <f aca="false">B441&amp;C441</f>
        <v>5500609005</v>
      </c>
      <c r="F441" s="5" t="n">
        <f aca="false">IFERROR(VLOOKUP(E441,'Legacy Data'!$C$2:$D$1702,2,FALSE()),"No legacy match")</f>
        <v>26456.4</v>
      </c>
      <c r="G441" s="5" t="n">
        <f aca="false">IFERROR(F441-D441,"N/A")</f>
        <v>0</v>
      </c>
      <c r="H441" s="1" t="str">
        <f aca="false">IF(ISNUMBER(G441),IF(G441=0,"Match","Variance"),"Check")</f>
        <v>Match</v>
      </c>
    </row>
    <row r="442" customFormat="false" ht="15.75" hidden="false" customHeight="true" outlineLevel="0" collapsed="false">
      <c r="B442" s="2" t="s">
        <v>106</v>
      </c>
      <c r="C442" s="2" t="s">
        <v>26</v>
      </c>
      <c r="D442" s="4" t="n">
        <v>133136.31</v>
      </c>
      <c r="E442" s="1" t="str">
        <f aca="false">B442&amp;C442</f>
        <v>5500609006</v>
      </c>
      <c r="F442" s="5" t="n">
        <f aca="false">IFERROR(VLOOKUP(E442,'Legacy Data'!$C$2:$D$1702,2,FALSE()),"No legacy match")</f>
        <v>133136.31</v>
      </c>
      <c r="G442" s="5" t="n">
        <f aca="false">IFERROR(F442-D442,"N/A")</f>
        <v>0</v>
      </c>
      <c r="H442" s="1" t="str">
        <f aca="false">IF(ISNUMBER(G442),IF(G442=0,"Match","Variance"),"Check")</f>
        <v>Match</v>
      </c>
    </row>
    <row r="443" customFormat="false" ht="15.75" hidden="false" customHeight="true" outlineLevel="0" collapsed="false">
      <c r="B443" s="2" t="s">
        <v>106</v>
      </c>
      <c r="C443" s="2" t="s">
        <v>80</v>
      </c>
      <c r="D443" s="4" t="n">
        <v>13516.43</v>
      </c>
      <c r="E443" s="1" t="str">
        <f aca="false">B443&amp;C443</f>
        <v>5500609007</v>
      </c>
      <c r="F443" s="5" t="n">
        <f aca="false">IFERROR(VLOOKUP(E443,'Legacy Data'!$C$2:$D$1702,2,FALSE()),"No legacy match")</f>
        <v>13516.43</v>
      </c>
      <c r="G443" s="5" t="n">
        <f aca="false">IFERROR(F443-D443,"N/A")</f>
        <v>0</v>
      </c>
      <c r="H443" s="1" t="str">
        <f aca="false">IF(ISNUMBER(G443),IF(G443=0,"Match","Variance"),"Check")</f>
        <v>Match</v>
      </c>
    </row>
    <row r="444" customFormat="false" ht="15.75" hidden="false" customHeight="true" outlineLevel="0" collapsed="false">
      <c r="B444" s="2" t="s">
        <v>106</v>
      </c>
      <c r="C444" s="2" t="s">
        <v>27</v>
      </c>
      <c r="D444" s="4" t="n">
        <v>-0.2</v>
      </c>
      <c r="E444" s="1" t="str">
        <f aca="false">B444&amp;C444</f>
        <v>5500609002</v>
      </c>
      <c r="F444" s="5" t="n">
        <f aca="false">IFERROR(VLOOKUP(E444,'Legacy Data'!$C$2:$D$1702,2,FALSE()),"No legacy match")</f>
        <v>-0.2</v>
      </c>
      <c r="G444" s="5" t="n">
        <f aca="false">IFERROR(F444-D444,"N/A")</f>
        <v>0</v>
      </c>
      <c r="H444" s="1" t="str">
        <f aca="false">IF(ISNUMBER(G444),IF(G444=0,"Match","Variance"),"Check")</f>
        <v>Match</v>
      </c>
    </row>
    <row r="445" customFormat="false" ht="15.75" hidden="false" customHeight="true" outlineLevel="0" collapsed="false">
      <c r="B445" s="2" t="s">
        <v>106</v>
      </c>
      <c r="C445" s="2" t="s">
        <v>32</v>
      </c>
      <c r="D445" s="4" t="n">
        <v>6100</v>
      </c>
      <c r="E445" s="1" t="str">
        <f aca="false">B445&amp;C445</f>
        <v>5500607010</v>
      </c>
      <c r="F445" s="5" t="n">
        <f aca="false">IFERROR(VLOOKUP(E445,'Legacy Data'!$C$2:$D$1702,2,FALSE()),"No legacy match")</f>
        <v>6100</v>
      </c>
      <c r="G445" s="5" t="n">
        <f aca="false">IFERROR(F445-D445,"N/A")</f>
        <v>0</v>
      </c>
      <c r="H445" s="1" t="str">
        <f aca="false">IF(ISNUMBER(G445),IF(G445=0,"Match","Variance"),"Check")</f>
        <v>Match</v>
      </c>
    </row>
    <row r="446" customFormat="false" ht="15.75" hidden="false" customHeight="true" outlineLevel="0" collapsed="false">
      <c r="B446" s="2" t="s">
        <v>106</v>
      </c>
      <c r="C446" s="2" t="s">
        <v>33</v>
      </c>
      <c r="D446" s="4" t="n">
        <v>9028.4</v>
      </c>
      <c r="E446" s="1" t="str">
        <f aca="false">B446&amp;C446</f>
        <v>5500604031</v>
      </c>
      <c r="F446" s="5" t="n">
        <f aca="false">IFERROR(VLOOKUP(E446,'Legacy Data'!$C$2:$D$1702,2,FALSE()),"No legacy match")</f>
        <v>9028.4</v>
      </c>
      <c r="G446" s="5" t="n">
        <f aca="false">IFERROR(F446-D446,"N/A")</f>
        <v>0</v>
      </c>
      <c r="H446" s="1" t="str">
        <f aca="false">IF(ISNUMBER(G446),IF(G446=0,"Match","Variance"),"Check")</f>
        <v>Match</v>
      </c>
    </row>
    <row r="447" customFormat="false" ht="15.75" hidden="false" customHeight="true" outlineLevel="0" collapsed="false">
      <c r="B447" s="2" t="s">
        <v>106</v>
      </c>
      <c r="C447" s="2" t="s">
        <v>34</v>
      </c>
      <c r="D447" s="4" t="n">
        <v>0</v>
      </c>
      <c r="E447" s="1" t="str">
        <f aca="false">B447&amp;C447</f>
        <v>5500910002</v>
      </c>
      <c r="F447" s="5" t="n">
        <f aca="false">IFERROR(VLOOKUP(E447,'Legacy Data'!$C$2:$D$1702,2,FALSE()),"No legacy match")</f>
        <v>0</v>
      </c>
      <c r="G447" s="5" t="n">
        <f aca="false">IFERROR(F447-D447,"N/A")</f>
        <v>0</v>
      </c>
      <c r="H447" s="1" t="str">
        <f aca="false">IF(ISNUMBER(G447),IF(G447=0,"Match","Variance"),"Check")</f>
        <v>Match</v>
      </c>
    </row>
    <row r="448" customFormat="false" ht="15.75" hidden="false" customHeight="true" outlineLevel="0" collapsed="false">
      <c r="B448" s="2" t="s">
        <v>106</v>
      </c>
      <c r="C448" s="2" t="s">
        <v>35</v>
      </c>
      <c r="D448" s="4" t="n">
        <v>0</v>
      </c>
      <c r="E448" s="1" t="str">
        <f aca="false">B448&amp;C448</f>
        <v>5500910004</v>
      </c>
      <c r="F448" s="5" t="n">
        <f aca="false">IFERROR(VLOOKUP(E448,'Legacy Data'!$C$2:$D$1702,2,FALSE()),"No legacy match")</f>
        <v>0</v>
      </c>
      <c r="G448" s="5" t="n">
        <f aca="false">IFERROR(F448-D448,"N/A")</f>
        <v>0</v>
      </c>
      <c r="H448" s="1" t="str">
        <f aca="false">IF(ISNUMBER(G448),IF(G448=0,"Match","Variance"),"Check")</f>
        <v>Match</v>
      </c>
    </row>
    <row r="449" customFormat="false" ht="15.75" hidden="false" customHeight="true" outlineLevel="0" collapsed="false">
      <c r="B449" s="2" t="s">
        <v>107</v>
      </c>
      <c r="C449" s="2" t="s">
        <v>8</v>
      </c>
      <c r="D449" s="4" t="n">
        <v>12293018.27</v>
      </c>
      <c r="E449" s="1" t="str">
        <f aca="false">B449&amp;C449</f>
        <v>5510602000</v>
      </c>
      <c r="F449" s="5" t="n">
        <f aca="false">IFERROR(VLOOKUP(E449,'Legacy Data'!$C$2:$D$1702,2,FALSE()),"No legacy match")</f>
        <v>12293018.27</v>
      </c>
      <c r="G449" s="5" t="n">
        <f aca="false">IFERROR(F449-D449,"N/A")</f>
        <v>0</v>
      </c>
      <c r="H449" s="1" t="str">
        <f aca="false">IF(ISNUMBER(G449),IF(G449=0,"Match","Variance"),"Check")</f>
        <v>Match</v>
      </c>
    </row>
    <row r="450" customFormat="false" ht="15.75" hidden="false" customHeight="true" outlineLevel="0" collapsed="false">
      <c r="B450" s="2" t="s">
        <v>107</v>
      </c>
      <c r="C450" s="2" t="s">
        <v>70</v>
      </c>
      <c r="D450" s="4" t="n">
        <v>1248867.71</v>
      </c>
      <c r="E450" s="1" t="str">
        <f aca="false">B450&amp;C450</f>
        <v>5510602001</v>
      </c>
      <c r="F450" s="5" t="n">
        <f aca="false">IFERROR(VLOOKUP(E450,'Legacy Data'!$C$2:$D$1702,2,FALSE()),"No legacy match")</f>
        <v>1248867.71</v>
      </c>
      <c r="G450" s="5" t="n">
        <f aca="false">IFERROR(F450-D450,"N/A")</f>
        <v>0</v>
      </c>
      <c r="H450" s="1" t="str">
        <f aca="false">IF(ISNUMBER(G450),IF(G450=0,"Match","Variance"),"Check")</f>
        <v>Match</v>
      </c>
    </row>
    <row r="451" customFormat="false" ht="15.75" hidden="false" customHeight="true" outlineLevel="0" collapsed="false">
      <c r="B451" s="2" t="s">
        <v>107</v>
      </c>
      <c r="C451" s="2" t="s">
        <v>9</v>
      </c>
      <c r="D451" s="4" t="n">
        <v>1228399.89</v>
      </c>
      <c r="E451" s="1" t="str">
        <f aca="false">B451&amp;C451</f>
        <v>5510602003</v>
      </c>
      <c r="F451" s="5" t="n">
        <f aca="false">IFERROR(VLOOKUP(E451,'Legacy Data'!$C$2:$D$1702,2,FALSE()),"No legacy match")</f>
        <v>1228399.89</v>
      </c>
      <c r="G451" s="5" t="n">
        <f aca="false">IFERROR(F451-D451,"N/A")</f>
        <v>0</v>
      </c>
      <c r="H451" s="1" t="str">
        <f aca="false">IF(ISNUMBER(G451),IF(G451=0,"Match","Variance"),"Check")</f>
        <v>Match</v>
      </c>
    </row>
    <row r="452" customFormat="false" ht="15.75" hidden="false" customHeight="true" outlineLevel="0" collapsed="false">
      <c r="B452" s="2" t="s">
        <v>107</v>
      </c>
      <c r="C452" s="2" t="s">
        <v>10</v>
      </c>
      <c r="D452" s="4" t="n">
        <v>701648.1</v>
      </c>
      <c r="E452" s="1" t="str">
        <f aca="false">B452&amp;C452</f>
        <v>5510602004</v>
      </c>
      <c r="F452" s="5" t="n">
        <f aca="false">IFERROR(VLOOKUP(E452,'Legacy Data'!$C$2:$D$1702,2,FALSE()),"No legacy match")</f>
        <v>701648.1</v>
      </c>
      <c r="G452" s="5" t="n">
        <f aca="false">IFERROR(F452-D452,"N/A")</f>
        <v>0</v>
      </c>
      <c r="H452" s="1" t="str">
        <f aca="false">IF(ISNUMBER(G452),IF(G452=0,"Match","Variance"),"Check")</f>
        <v>Match</v>
      </c>
    </row>
    <row r="453" customFormat="false" ht="15.75" hidden="false" customHeight="true" outlineLevel="0" collapsed="false">
      <c r="B453" s="2" t="s">
        <v>107</v>
      </c>
      <c r="C453" s="2" t="s">
        <v>11</v>
      </c>
      <c r="D453" s="4" t="n">
        <v>134465.98</v>
      </c>
      <c r="E453" s="1" t="str">
        <f aca="false">B453&amp;C453</f>
        <v>5510602005</v>
      </c>
      <c r="F453" s="5" t="n">
        <f aca="false">IFERROR(VLOOKUP(E453,'Legacy Data'!$C$2:$D$1702,2,FALSE()),"No legacy match")</f>
        <v>134465.98</v>
      </c>
      <c r="G453" s="5" t="n">
        <f aca="false">IFERROR(F453-D453,"N/A")</f>
        <v>0</v>
      </c>
      <c r="H453" s="1" t="str">
        <f aca="false">IF(ISNUMBER(G453),IF(G453=0,"Match","Variance"),"Check")</f>
        <v>Match</v>
      </c>
    </row>
    <row r="454" customFormat="false" ht="15.75" hidden="false" customHeight="true" outlineLevel="0" collapsed="false">
      <c r="B454" s="2" t="s">
        <v>107</v>
      </c>
      <c r="C454" s="2" t="s">
        <v>12</v>
      </c>
      <c r="D454" s="4" t="n">
        <v>2598007.31</v>
      </c>
      <c r="E454" s="1" t="str">
        <f aca="false">B454&amp;C454</f>
        <v>5510602010</v>
      </c>
      <c r="F454" s="5" t="n">
        <f aca="false">IFERROR(VLOOKUP(E454,'Legacy Data'!$C$2:$D$1702,2,FALSE()),"No legacy match")</f>
        <v>2598007.31</v>
      </c>
      <c r="G454" s="5" t="n">
        <f aca="false">IFERROR(F454-D454,"N/A")</f>
        <v>0</v>
      </c>
      <c r="H454" s="1" t="str">
        <f aca="false">IF(ISNUMBER(G454),IF(G454=0,"Match","Variance"),"Check")</f>
        <v>Match</v>
      </c>
    </row>
    <row r="455" customFormat="false" ht="15.75" hidden="false" customHeight="true" outlineLevel="0" collapsed="false">
      <c r="B455" s="2" t="s">
        <v>107</v>
      </c>
      <c r="C455" s="2" t="s">
        <v>13</v>
      </c>
      <c r="D455" s="4" t="n">
        <v>579409.62</v>
      </c>
      <c r="E455" s="1" t="str">
        <f aca="false">B455&amp;C455</f>
        <v>5510602020</v>
      </c>
      <c r="F455" s="5" t="n">
        <f aca="false">IFERROR(VLOOKUP(E455,'Legacy Data'!$C$2:$D$1702,2,FALSE()),"No legacy match")</f>
        <v>579409.62</v>
      </c>
      <c r="G455" s="5" t="n">
        <f aca="false">IFERROR(F455-D455,"N/A")</f>
        <v>0</v>
      </c>
      <c r="H455" s="1" t="str">
        <f aca="false">IF(ISNUMBER(G455),IF(G455=0,"Match","Variance"),"Check")</f>
        <v>Match</v>
      </c>
    </row>
    <row r="456" customFormat="false" ht="15.75" hidden="false" customHeight="true" outlineLevel="0" collapsed="false">
      <c r="B456" s="2" t="s">
        <v>107</v>
      </c>
      <c r="C456" s="2" t="s">
        <v>14</v>
      </c>
      <c r="D456" s="4" t="n">
        <v>1134147.58</v>
      </c>
      <c r="E456" s="1" t="str">
        <f aca="false">B456&amp;C456</f>
        <v>5510602030</v>
      </c>
      <c r="F456" s="5" t="n">
        <f aca="false">IFERROR(VLOOKUP(E456,'Legacy Data'!$C$2:$D$1702,2,FALSE()),"No legacy match")</f>
        <v>1134147.58</v>
      </c>
      <c r="G456" s="5" t="n">
        <f aca="false">IFERROR(F456-D456,"N/A")</f>
        <v>0</v>
      </c>
      <c r="H456" s="1" t="str">
        <f aca="false">IF(ISNUMBER(G456),IF(G456=0,"Match","Variance"),"Check")</f>
        <v>Match</v>
      </c>
    </row>
    <row r="457" customFormat="false" ht="15.75" hidden="false" customHeight="true" outlineLevel="0" collapsed="false">
      <c r="B457" s="2" t="s">
        <v>107</v>
      </c>
      <c r="C457" s="2" t="s">
        <v>42</v>
      </c>
      <c r="D457" s="4" t="n">
        <v>-163168.8</v>
      </c>
      <c r="E457" s="1" t="str">
        <f aca="false">B457&amp;C457</f>
        <v>5510602040</v>
      </c>
      <c r="F457" s="5" t="n">
        <f aca="false">IFERROR(VLOOKUP(E457,'Legacy Data'!$C$2:$D$1702,2,FALSE()),"No legacy match")</f>
        <v>-163168.8</v>
      </c>
      <c r="G457" s="5" t="n">
        <f aca="false">IFERROR(F457-D457,"N/A")</f>
        <v>0</v>
      </c>
      <c r="H457" s="1" t="str">
        <f aca="false">IF(ISNUMBER(G457),IF(G457=0,"Match","Variance"),"Check")</f>
        <v>Match</v>
      </c>
    </row>
    <row r="458" customFormat="false" ht="15.75" hidden="false" customHeight="true" outlineLevel="0" collapsed="false">
      <c r="B458" s="2" t="s">
        <v>107</v>
      </c>
      <c r="C458" s="2" t="s">
        <v>43</v>
      </c>
      <c r="D458" s="4" t="n">
        <v>118398.08</v>
      </c>
      <c r="E458" s="1" t="str">
        <f aca="false">B458&amp;C458</f>
        <v>5510602050</v>
      </c>
      <c r="F458" s="5" t="n">
        <f aca="false">IFERROR(VLOOKUP(E458,'Legacy Data'!$C$2:$D$1702,2,FALSE()),"No legacy match")</f>
        <v>118398.08</v>
      </c>
      <c r="G458" s="5" t="n">
        <f aca="false">IFERROR(F458-D458,"N/A")</f>
        <v>0</v>
      </c>
      <c r="H458" s="1" t="str">
        <f aca="false">IF(ISNUMBER(G458),IF(G458=0,"Match","Variance"),"Check")</f>
        <v>Match</v>
      </c>
    </row>
    <row r="459" customFormat="false" ht="15.75" hidden="false" customHeight="true" outlineLevel="0" collapsed="false">
      <c r="B459" s="2" t="s">
        <v>107</v>
      </c>
      <c r="C459" s="2" t="s">
        <v>44</v>
      </c>
      <c r="D459" s="4" t="n">
        <v>23649.34</v>
      </c>
      <c r="E459" s="1" t="str">
        <f aca="false">B459&amp;C459</f>
        <v>5510602060</v>
      </c>
      <c r="F459" s="5" t="n">
        <f aca="false">IFERROR(VLOOKUP(E459,'Legacy Data'!$C$2:$D$1702,2,FALSE()),"No legacy match")</f>
        <v>23649.34</v>
      </c>
      <c r="G459" s="5" t="n">
        <f aca="false">IFERROR(F459-D459,"N/A")</f>
        <v>0</v>
      </c>
      <c r="H459" s="1" t="str">
        <f aca="false">IF(ISNUMBER(G459),IF(G459=0,"Match","Variance"),"Check")</f>
        <v>Match</v>
      </c>
    </row>
    <row r="460" customFormat="false" ht="15.75" hidden="false" customHeight="true" outlineLevel="0" collapsed="false">
      <c r="B460" s="2" t="s">
        <v>107</v>
      </c>
      <c r="C460" s="2" t="s">
        <v>15</v>
      </c>
      <c r="D460" s="4" t="n">
        <v>35609.12</v>
      </c>
      <c r="E460" s="1" t="str">
        <f aca="false">B460&amp;C460</f>
        <v>5510602070</v>
      </c>
      <c r="F460" s="5" t="n">
        <f aca="false">IFERROR(VLOOKUP(E460,'Legacy Data'!$C$2:$D$1702,2,FALSE()),"No legacy match")</f>
        <v>35609.12</v>
      </c>
      <c r="G460" s="5" t="n">
        <f aca="false">IFERROR(F460-D460,"N/A")</f>
        <v>0</v>
      </c>
      <c r="H460" s="1" t="str">
        <f aca="false">IF(ISNUMBER(G460),IF(G460=0,"Match","Variance"),"Check")</f>
        <v>Match</v>
      </c>
    </row>
    <row r="461" customFormat="false" ht="15.75" hidden="false" customHeight="true" outlineLevel="0" collapsed="false">
      <c r="B461" s="2" t="s">
        <v>107</v>
      </c>
      <c r="C461" s="2" t="s">
        <v>45</v>
      </c>
      <c r="D461" s="4" t="n">
        <v>4449.78</v>
      </c>
      <c r="E461" s="1" t="str">
        <f aca="false">B461&amp;C461</f>
        <v>5510602071</v>
      </c>
      <c r="F461" s="5" t="n">
        <f aca="false">IFERROR(VLOOKUP(E461,'Legacy Data'!$C$2:$D$1702,2,FALSE()),"No legacy match")</f>
        <v>4449.78</v>
      </c>
      <c r="G461" s="5" t="n">
        <f aca="false">IFERROR(F461-D461,"N/A")</f>
        <v>0</v>
      </c>
      <c r="H461" s="1" t="str">
        <f aca="false">IF(ISNUMBER(G461),IF(G461=0,"Match","Variance"),"Check")</f>
        <v>Match</v>
      </c>
    </row>
    <row r="462" customFormat="false" ht="15.75" hidden="false" customHeight="true" outlineLevel="0" collapsed="false">
      <c r="B462" s="2" t="s">
        <v>107</v>
      </c>
      <c r="C462" s="2" t="s">
        <v>16</v>
      </c>
      <c r="D462" s="4" t="n">
        <v>917533.13</v>
      </c>
      <c r="E462" s="1" t="str">
        <f aca="false">B462&amp;C462</f>
        <v>5510602072</v>
      </c>
      <c r="F462" s="5" t="n">
        <f aca="false">IFERROR(VLOOKUP(E462,'Legacy Data'!$C$2:$D$1702,2,FALSE()),"No legacy match")</f>
        <v>917533.13</v>
      </c>
      <c r="G462" s="5" t="n">
        <f aca="false">IFERROR(F462-D462,"N/A")</f>
        <v>0</v>
      </c>
      <c r="H462" s="1" t="str">
        <f aca="false">IF(ISNUMBER(G462),IF(G462=0,"Match","Variance"),"Check")</f>
        <v>Match</v>
      </c>
    </row>
    <row r="463" customFormat="false" ht="15.75" hidden="false" customHeight="true" outlineLevel="0" collapsed="false">
      <c r="B463" s="2" t="s">
        <v>107</v>
      </c>
      <c r="C463" s="2" t="s">
        <v>48</v>
      </c>
      <c r="D463" s="4" t="n">
        <v>-167898.01</v>
      </c>
      <c r="E463" s="1" t="str">
        <f aca="false">B463&amp;C463</f>
        <v>5510602080</v>
      </c>
      <c r="F463" s="5" t="n">
        <f aca="false">IFERROR(VLOOKUP(E463,'Legacy Data'!$C$2:$D$1702,2,FALSE()),"No legacy match")</f>
        <v>-167898.01</v>
      </c>
      <c r="G463" s="5" t="n">
        <f aca="false">IFERROR(F463-D463,"N/A")</f>
        <v>0</v>
      </c>
      <c r="H463" s="1" t="str">
        <f aca="false">IF(ISNUMBER(G463),IF(G463=0,"Match","Variance"),"Check")</f>
        <v>Match</v>
      </c>
    </row>
    <row r="464" customFormat="false" ht="15.75" hidden="false" customHeight="true" outlineLevel="0" collapsed="false">
      <c r="B464" s="2" t="s">
        <v>107</v>
      </c>
      <c r="C464" s="2" t="s">
        <v>17</v>
      </c>
      <c r="D464" s="4" t="n">
        <v>1750263.18</v>
      </c>
      <c r="E464" s="1" t="str">
        <f aca="false">B464&amp;C464</f>
        <v>5510603000</v>
      </c>
      <c r="F464" s="5" t="n">
        <f aca="false">IFERROR(VLOOKUP(E464,'Legacy Data'!$C$2:$D$1702,2,FALSE()),"No legacy match")</f>
        <v>1750263.18</v>
      </c>
      <c r="G464" s="5" t="n">
        <f aca="false">IFERROR(F464-D464,"N/A")</f>
        <v>0</v>
      </c>
      <c r="H464" s="1" t="str">
        <f aca="false">IF(ISNUMBER(G464),IF(G464=0,"Match","Variance"),"Check")</f>
        <v>Match</v>
      </c>
    </row>
    <row r="465" customFormat="false" ht="15.75" hidden="false" customHeight="true" outlineLevel="0" collapsed="false">
      <c r="B465" s="2" t="s">
        <v>107</v>
      </c>
      <c r="C465" s="2" t="s">
        <v>102</v>
      </c>
      <c r="D465" s="4" t="n">
        <v>0</v>
      </c>
      <c r="E465" s="1" t="str">
        <f aca="false">B465&amp;C465</f>
        <v>5510604001</v>
      </c>
      <c r="F465" s="5" t="n">
        <f aca="false">IFERROR(VLOOKUP(E465,'Legacy Data'!$C$2:$D$1702,2,FALSE()),"No legacy match")</f>
        <v>0</v>
      </c>
      <c r="G465" s="5" t="n">
        <f aca="false">IFERROR(F465-D465,"N/A")</f>
        <v>0</v>
      </c>
      <c r="H465" s="1" t="str">
        <f aca="false">IF(ISNUMBER(G465),IF(G465=0,"Match","Variance"),"Check")</f>
        <v>Match</v>
      </c>
    </row>
    <row r="466" customFormat="false" ht="15.75" hidden="false" customHeight="true" outlineLevel="0" collapsed="false">
      <c r="B466" s="2" t="s">
        <v>107</v>
      </c>
      <c r="C466" s="2" t="s">
        <v>19</v>
      </c>
      <c r="D466" s="4" t="n">
        <v>186576.72</v>
      </c>
      <c r="E466" s="1" t="str">
        <f aca="false">B466&amp;C466</f>
        <v>5510604040</v>
      </c>
      <c r="F466" s="5" t="n">
        <f aca="false">IFERROR(VLOOKUP(E466,'Legacy Data'!$C$2:$D$1702,2,FALSE()),"No legacy match")</f>
        <v>186576.72</v>
      </c>
      <c r="G466" s="5" t="n">
        <f aca="false">IFERROR(F466-D466,"N/A")</f>
        <v>0</v>
      </c>
      <c r="H466" s="1" t="str">
        <f aca="false">IF(ISNUMBER(G466),IF(G466=0,"Match","Variance"),"Check")</f>
        <v>Match</v>
      </c>
    </row>
    <row r="467" customFormat="false" ht="15.75" hidden="false" customHeight="true" outlineLevel="0" collapsed="false">
      <c r="B467" s="2" t="s">
        <v>107</v>
      </c>
      <c r="C467" s="2" t="s">
        <v>50</v>
      </c>
      <c r="D467" s="4" t="n">
        <v>1795386.87</v>
      </c>
      <c r="E467" s="1" t="str">
        <f aca="false">B467&amp;C467</f>
        <v>5510604060</v>
      </c>
      <c r="F467" s="5" t="n">
        <f aca="false">IFERROR(VLOOKUP(E467,'Legacy Data'!$C$2:$D$1702,2,FALSE()),"No legacy match")</f>
        <v>1795386.87</v>
      </c>
      <c r="G467" s="5" t="n">
        <f aca="false">IFERROR(F467-D467,"N/A")</f>
        <v>0</v>
      </c>
      <c r="H467" s="1" t="str">
        <f aca="false">IF(ISNUMBER(G467),IF(G467=0,"Match","Variance"),"Check")</f>
        <v>Match</v>
      </c>
    </row>
    <row r="468" customFormat="false" ht="15.75" hidden="false" customHeight="true" outlineLevel="0" collapsed="false">
      <c r="B468" s="2" t="s">
        <v>107</v>
      </c>
      <c r="C468" s="2" t="s">
        <v>22</v>
      </c>
      <c r="D468" s="4" t="n">
        <v>162529.38</v>
      </c>
      <c r="E468" s="1" t="str">
        <f aca="false">B468&amp;C468</f>
        <v>5510604010</v>
      </c>
      <c r="F468" s="5" t="n">
        <f aca="false">IFERROR(VLOOKUP(E468,'Legacy Data'!$C$2:$D$1702,2,FALSE()),"No legacy match")</f>
        <v>162529.38</v>
      </c>
      <c r="G468" s="5" t="n">
        <f aca="false">IFERROR(F468-D468,"N/A")</f>
        <v>0</v>
      </c>
      <c r="H468" s="1" t="str">
        <f aca="false">IF(ISNUMBER(G468),IF(G468=0,"Match","Variance"),"Check")</f>
        <v>Match</v>
      </c>
    </row>
    <row r="469" customFormat="false" ht="15.75" hidden="false" customHeight="true" outlineLevel="0" collapsed="false">
      <c r="B469" s="2" t="s">
        <v>107</v>
      </c>
      <c r="C469" s="2" t="s">
        <v>51</v>
      </c>
      <c r="D469" s="4" t="n">
        <v>1234.54</v>
      </c>
      <c r="E469" s="1" t="str">
        <f aca="false">B469&amp;C469</f>
        <v>5510605000</v>
      </c>
      <c r="F469" s="5" t="n">
        <f aca="false">IFERROR(VLOOKUP(E469,'Legacy Data'!$C$2:$D$1702,2,FALSE()),"No legacy match")</f>
        <v>1234.54</v>
      </c>
      <c r="G469" s="5" t="n">
        <f aca="false">IFERROR(F469-D469,"N/A")</f>
        <v>0</v>
      </c>
      <c r="H469" s="1" t="str">
        <f aca="false">IF(ISNUMBER(G469),IF(G469=0,"Match","Variance"),"Check")</f>
        <v>Match</v>
      </c>
    </row>
    <row r="470" customFormat="false" ht="15.75" hidden="false" customHeight="true" outlineLevel="0" collapsed="false">
      <c r="B470" s="2" t="s">
        <v>107</v>
      </c>
      <c r="C470" s="2" t="s">
        <v>53</v>
      </c>
      <c r="D470" s="4" t="n">
        <v>10491.17</v>
      </c>
      <c r="E470" s="1" t="str">
        <f aca="false">B470&amp;C470</f>
        <v>5510605020</v>
      </c>
      <c r="F470" s="5" t="n">
        <f aca="false">IFERROR(VLOOKUP(E470,'Legacy Data'!$C$2:$D$1702,2,FALSE()),"No legacy match")</f>
        <v>10491.17</v>
      </c>
      <c r="G470" s="5" t="n">
        <f aca="false">IFERROR(F470-D470,"N/A")</f>
        <v>0</v>
      </c>
      <c r="H470" s="1" t="str">
        <f aca="false">IF(ISNUMBER(G470),IF(G470=0,"Match","Variance"),"Check")</f>
        <v>Match</v>
      </c>
    </row>
    <row r="471" customFormat="false" ht="15.75" hidden="false" customHeight="true" outlineLevel="0" collapsed="false">
      <c r="B471" s="2" t="s">
        <v>107</v>
      </c>
      <c r="C471" s="2" t="s">
        <v>58</v>
      </c>
      <c r="D471" s="4" t="n">
        <v>566.58</v>
      </c>
      <c r="E471" s="1" t="str">
        <f aca="false">B471&amp;C471</f>
        <v>5510606031</v>
      </c>
      <c r="F471" s="5" t="n">
        <f aca="false">IFERROR(VLOOKUP(E471,'Legacy Data'!$C$2:$D$1702,2,FALSE()),"No legacy match")</f>
        <v>566.58</v>
      </c>
      <c r="G471" s="5" t="n">
        <f aca="false">IFERROR(F471-D471,"N/A")</f>
        <v>0</v>
      </c>
      <c r="H471" s="1" t="str">
        <f aca="false">IF(ISNUMBER(G471),IF(G471=0,"Match","Variance"),"Check")</f>
        <v>Match</v>
      </c>
    </row>
    <row r="472" customFormat="false" ht="15.75" hidden="false" customHeight="true" outlineLevel="0" collapsed="false">
      <c r="B472" s="2" t="s">
        <v>107</v>
      </c>
      <c r="C472" s="2" t="s">
        <v>59</v>
      </c>
      <c r="D472" s="4" t="n">
        <v>639.99</v>
      </c>
      <c r="E472" s="1" t="str">
        <f aca="false">B472&amp;C472</f>
        <v>5510608010</v>
      </c>
      <c r="F472" s="5" t="n">
        <f aca="false">IFERROR(VLOOKUP(E472,'Legacy Data'!$C$2:$D$1702,2,FALSE()),"No legacy match")</f>
        <v>639.99</v>
      </c>
      <c r="G472" s="5" t="n">
        <f aca="false">IFERROR(F472-D472,"N/A")</f>
        <v>0</v>
      </c>
      <c r="H472" s="1" t="str">
        <f aca="false">IF(ISNUMBER(G472),IF(G472=0,"Match","Variance"),"Check")</f>
        <v>Match</v>
      </c>
    </row>
    <row r="473" customFormat="false" ht="15.75" hidden="false" customHeight="true" outlineLevel="0" collapsed="false">
      <c r="B473" s="2" t="s">
        <v>107</v>
      </c>
      <c r="C473" s="2" t="s">
        <v>60</v>
      </c>
      <c r="D473" s="4" t="n">
        <v>1243.58</v>
      </c>
      <c r="E473" s="1" t="str">
        <f aca="false">B473&amp;C473</f>
        <v>5510608040</v>
      </c>
      <c r="F473" s="5" t="n">
        <f aca="false">IFERROR(VLOOKUP(E473,'Legacy Data'!$C$2:$D$1702,2,FALSE()),"No legacy match")</f>
        <v>1243.58</v>
      </c>
      <c r="G473" s="5" t="n">
        <f aca="false">IFERROR(F473-D473,"N/A")</f>
        <v>0</v>
      </c>
      <c r="H473" s="1" t="str">
        <f aca="false">IF(ISNUMBER(G473),IF(G473=0,"Match","Variance"),"Check")</f>
        <v>Match</v>
      </c>
    </row>
    <row r="474" customFormat="false" ht="15.75" hidden="false" customHeight="true" outlineLevel="0" collapsed="false">
      <c r="B474" s="2" t="s">
        <v>107</v>
      </c>
      <c r="C474" s="2" t="s">
        <v>61</v>
      </c>
      <c r="D474" s="4" t="n">
        <v>10730.58</v>
      </c>
      <c r="E474" s="1" t="str">
        <f aca="false">B474&amp;C474</f>
        <v>5510608000</v>
      </c>
      <c r="F474" s="5" t="n">
        <f aca="false">IFERROR(VLOOKUP(E474,'Legacy Data'!$C$2:$D$1702,2,FALSE()),"No legacy match")</f>
        <v>10730.58</v>
      </c>
      <c r="G474" s="5" t="n">
        <f aca="false">IFERROR(F474-D474,"N/A")</f>
        <v>0</v>
      </c>
      <c r="H474" s="1" t="str">
        <f aca="false">IF(ISNUMBER(G474),IF(G474=0,"Match","Variance"),"Check")</f>
        <v>Match</v>
      </c>
    </row>
    <row r="475" customFormat="false" ht="15.75" hidden="false" customHeight="true" outlineLevel="0" collapsed="false">
      <c r="B475" s="2" t="s">
        <v>107</v>
      </c>
      <c r="C475" s="2" t="s">
        <v>24</v>
      </c>
      <c r="D475" s="4" t="n">
        <v>228400.48</v>
      </c>
      <c r="E475" s="1" t="str">
        <f aca="false">B475&amp;C475</f>
        <v>5510609004</v>
      </c>
      <c r="F475" s="5" t="n">
        <f aca="false">IFERROR(VLOOKUP(E475,'Legacy Data'!$C$2:$D$1702,2,FALSE()),"No legacy match")</f>
        <v>228400.48</v>
      </c>
      <c r="G475" s="5" t="n">
        <f aca="false">IFERROR(F475-D475,"N/A")</f>
        <v>0</v>
      </c>
      <c r="H475" s="1" t="str">
        <f aca="false">IF(ISNUMBER(G475),IF(G475=0,"Match","Variance"),"Check")</f>
        <v>Match</v>
      </c>
    </row>
    <row r="476" customFormat="false" ht="15.75" hidden="false" customHeight="true" outlineLevel="0" collapsed="false">
      <c r="B476" s="2" t="s">
        <v>107</v>
      </c>
      <c r="C476" s="2" t="s">
        <v>37</v>
      </c>
      <c r="D476" s="4" t="n">
        <v>310</v>
      </c>
      <c r="E476" s="1" t="str">
        <f aca="false">B476&amp;C476</f>
        <v>5510609008</v>
      </c>
      <c r="F476" s="5" t="n">
        <f aca="false">IFERROR(VLOOKUP(E476,'Legacy Data'!$C$2:$D$1702,2,FALSE()),"No legacy match")</f>
        <v>310</v>
      </c>
      <c r="G476" s="5" t="n">
        <f aca="false">IFERROR(F476-D476,"N/A")</f>
        <v>0</v>
      </c>
      <c r="H476" s="1" t="str">
        <f aca="false">IF(ISNUMBER(G476),IF(G476=0,"Match","Variance"),"Check")</f>
        <v>Match</v>
      </c>
    </row>
    <row r="477" customFormat="false" ht="15.75" hidden="false" customHeight="true" outlineLevel="0" collapsed="false">
      <c r="B477" s="2" t="s">
        <v>107</v>
      </c>
      <c r="C477" s="2" t="s">
        <v>25</v>
      </c>
      <c r="D477" s="4" t="n">
        <v>656824.02</v>
      </c>
      <c r="E477" s="1" t="str">
        <f aca="false">B477&amp;C477</f>
        <v>5510609005</v>
      </c>
      <c r="F477" s="5" t="n">
        <f aca="false">IFERROR(VLOOKUP(E477,'Legacy Data'!$C$2:$D$1702,2,FALSE()),"No legacy match")</f>
        <v>656824.02</v>
      </c>
      <c r="G477" s="5" t="n">
        <f aca="false">IFERROR(F477-D477,"N/A")</f>
        <v>0</v>
      </c>
      <c r="H477" s="1" t="str">
        <f aca="false">IF(ISNUMBER(G477),IF(G477=0,"Match","Variance"),"Check")</f>
        <v>Match</v>
      </c>
    </row>
    <row r="478" customFormat="false" ht="15.75" hidden="false" customHeight="true" outlineLevel="0" collapsed="false">
      <c r="B478" s="2" t="s">
        <v>107</v>
      </c>
      <c r="C478" s="2" t="s">
        <v>26</v>
      </c>
      <c r="D478" s="4" t="n">
        <v>166580.11</v>
      </c>
      <c r="E478" s="1" t="str">
        <f aca="false">B478&amp;C478</f>
        <v>5510609006</v>
      </c>
      <c r="F478" s="5" t="n">
        <f aca="false">IFERROR(VLOOKUP(E478,'Legacy Data'!$C$2:$D$1702,2,FALSE()),"No legacy match")</f>
        <v>166580.11</v>
      </c>
      <c r="G478" s="5" t="n">
        <f aca="false">IFERROR(F478-D478,"N/A")</f>
        <v>0</v>
      </c>
      <c r="H478" s="1" t="str">
        <f aca="false">IF(ISNUMBER(G478),IF(G478=0,"Match","Variance"),"Check")</f>
        <v>Match</v>
      </c>
    </row>
    <row r="479" customFormat="false" ht="15.75" hidden="false" customHeight="true" outlineLevel="0" collapsed="false">
      <c r="B479" s="2" t="s">
        <v>107</v>
      </c>
      <c r="C479" s="2" t="s">
        <v>80</v>
      </c>
      <c r="D479" s="4" t="n">
        <v>852659.58</v>
      </c>
      <c r="E479" s="1" t="str">
        <f aca="false">B479&amp;C479</f>
        <v>5510609007</v>
      </c>
      <c r="F479" s="5" t="n">
        <f aca="false">IFERROR(VLOOKUP(E479,'Legacy Data'!$C$2:$D$1702,2,FALSE()),"No legacy match")</f>
        <v>852659.58</v>
      </c>
      <c r="G479" s="5" t="n">
        <f aca="false">IFERROR(F479-D479,"N/A")</f>
        <v>0</v>
      </c>
      <c r="H479" s="1" t="str">
        <f aca="false">IF(ISNUMBER(G479),IF(G479=0,"Match","Variance"),"Check")</f>
        <v>Match</v>
      </c>
    </row>
    <row r="480" customFormat="false" ht="15.75" hidden="false" customHeight="true" outlineLevel="0" collapsed="false">
      <c r="B480" s="2" t="s">
        <v>107</v>
      </c>
      <c r="C480" s="2" t="s">
        <v>63</v>
      </c>
      <c r="D480" s="4" t="n">
        <v>56598.53</v>
      </c>
      <c r="E480" s="1" t="str">
        <f aca="false">B480&amp;C480</f>
        <v>5510609000</v>
      </c>
      <c r="F480" s="5" t="n">
        <f aca="false">IFERROR(VLOOKUP(E480,'Legacy Data'!$C$2:$D$1702,2,FALSE()),"No legacy match")</f>
        <v>56598.53</v>
      </c>
      <c r="G480" s="5" t="n">
        <f aca="false">IFERROR(F480-D480,"N/A")</f>
        <v>0</v>
      </c>
      <c r="H480" s="1" t="str">
        <f aca="false">IF(ISNUMBER(G480),IF(G480=0,"Match","Variance"),"Check")</f>
        <v>Match</v>
      </c>
    </row>
    <row r="481" customFormat="false" ht="15.75" hidden="false" customHeight="true" outlineLevel="0" collapsed="false">
      <c r="B481" s="2" t="s">
        <v>107</v>
      </c>
      <c r="C481" s="2" t="s">
        <v>27</v>
      </c>
      <c r="D481" s="4" t="n">
        <v>146584.76</v>
      </c>
      <c r="E481" s="1" t="str">
        <f aca="false">B481&amp;C481</f>
        <v>5510609002</v>
      </c>
      <c r="F481" s="5" t="n">
        <f aca="false">IFERROR(VLOOKUP(E481,'Legacy Data'!$C$2:$D$1702,2,FALSE()),"No legacy match")</f>
        <v>146584.76</v>
      </c>
      <c r="G481" s="5" t="n">
        <f aca="false">IFERROR(F481-D481,"N/A")</f>
        <v>0</v>
      </c>
      <c r="H481" s="1" t="str">
        <f aca="false">IF(ISNUMBER(G481),IF(G481=0,"Match","Variance"),"Check")</f>
        <v>Match</v>
      </c>
    </row>
    <row r="482" customFormat="false" ht="15.75" hidden="false" customHeight="true" outlineLevel="0" collapsed="false">
      <c r="B482" s="2" t="s">
        <v>107</v>
      </c>
      <c r="C482" s="2" t="s">
        <v>28</v>
      </c>
      <c r="D482" s="4" t="n">
        <v>457984.01</v>
      </c>
      <c r="E482" s="1" t="str">
        <f aca="false">B482&amp;C482</f>
        <v>5510609003</v>
      </c>
      <c r="F482" s="5" t="n">
        <f aca="false">IFERROR(VLOOKUP(E482,'Legacy Data'!$C$2:$D$1702,2,FALSE()),"No legacy match")</f>
        <v>457984.01</v>
      </c>
      <c r="G482" s="5" t="n">
        <f aca="false">IFERROR(F482-D482,"N/A")</f>
        <v>0</v>
      </c>
      <c r="H482" s="1" t="str">
        <f aca="false">IF(ISNUMBER(G482),IF(G482=0,"Match","Variance"),"Check")</f>
        <v>Match</v>
      </c>
    </row>
    <row r="483" customFormat="false" ht="15.75" hidden="false" customHeight="true" outlineLevel="0" collapsed="false">
      <c r="B483" s="2" t="s">
        <v>107</v>
      </c>
      <c r="C483" s="2" t="s">
        <v>29</v>
      </c>
      <c r="D483" s="4" t="n">
        <v>-24793.28</v>
      </c>
      <c r="E483" s="1" t="str">
        <f aca="false">B483&amp;C483</f>
        <v>5510609009</v>
      </c>
      <c r="F483" s="5" t="n">
        <f aca="false">IFERROR(VLOOKUP(E483,'Legacy Data'!$C$2:$D$1702,2,FALSE()),"No legacy match")</f>
        <v>-24793.28</v>
      </c>
      <c r="G483" s="5" t="n">
        <f aca="false">IFERROR(F483-D483,"N/A")</f>
        <v>0</v>
      </c>
      <c r="H483" s="1" t="str">
        <f aca="false">IF(ISNUMBER(G483),IF(G483=0,"Match","Variance"),"Check")</f>
        <v>Match</v>
      </c>
    </row>
    <row r="484" customFormat="false" ht="15.75" hidden="false" customHeight="true" outlineLevel="0" collapsed="false">
      <c r="B484" s="2" t="s">
        <v>107</v>
      </c>
      <c r="C484" s="2" t="s">
        <v>30</v>
      </c>
      <c r="D484" s="4" t="n">
        <v>2078.71</v>
      </c>
      <c r="E484" s="1" t="str">
        <f aca="false">B484&amp;C484</f>
        <v>5510609010</v>
      </c>
      <c r="F484" s="5" t="n">
        <f aca="false">IFERROR(VLOOKUP(E484,'Legacy Data'!$C$2:$D$1702,2,FALSE()),"No legacy match")</f>
        <v>2078.71</v>
      </c>
      <c r="G484" s="5" t="n">
        <f aca="false">IFERROR(F484-D484,"N/A")</f>
        <v>0</v>
      </c>
      <c r="H484" s="1" t="str">
        <f aca="false">IF(ISNUMBER(G484),IF(G484=0,"Match","Variance"),"Check")</f>
        <v>Match</v>
      </c>
    </row>
    <row r="485" customFormat="false" ht="15.75" hidden="false" customHeight="true" outlineLevel="0" collapsed="false">
      <c r="B485" s="2" t="s">
        <v>107</v>
      </c>
      <c r="C485" s="2" t="s">
        <v>39</v>
      </c>
      <c r="D485" s="4" t="n">
        <v>-208.74</v>
      </c>
      <c r="E485" s="1" t="str">
        <f aca="false">B485&amp;C485</f>
        <v>5510609012</v>
      </c>
      <c r="F485" s="5" t="n">
        <f aca="false">IFERROR(VLOOKUP(E485,'Legacy Data'!$C$2:$D$1702,2,FALSE()),"No legacy match")</f>
        <v>-208.74</v>
      </c>
      <c r="G485" s="5" t="n">
        <f aca="false">IFERROR(F485-D485,"N/A")</f>
        <v>0</v>
      </c>
      <c r="H485" s="1" t="str">
        <f aca="false">IF(ISNUMBER(G485),IF(G485=0,"Match","Variance"),"Check")</f>
        <v>Match</v>
      </c>
    </row>
    <row r="486" customFormat="false" ht="15.75" hidden="false" customHeight="true" outlineLevel="0" collapsed="false">
      <c r="B486" s="2" t="s">
        <v>107</v>
      </c>
      <c r="C486" s="2" t="s">
        <v>83</v>
      </c>
      <c r="D486" s="4" t="n">
        <v>950708</v>
      </c>
      <c r="E486" s="1" t="str">
        <f aca="false">B486&amp;C486</f>
        <v>5510610005</v>
      </c>
      <c r="F486" s="5" t="n">
        <f aca="false">IFERROR(VLOOKUP(E486,'Legacy Data'!$C$2:$D$1702,2,FALSE()),"No legacy match")</f>
        <v>950708</v>
      </c>
      <c r="G486" s="5" t="n">
        <f aca="false">IFERROR(F486-D486,"N/A")</f>
        <v>0</v>
      </c>
      <c r="H486" s="1" t="str">
        <f aca="false">IF(ISNUMBER(G486),IF(G486=0,"Match","Variance"),"Check")</f>
        <v>Match</v>
      </c>
    </row>
    <row r="487" customFormat="false" ht="15.75" hidden="false" customHeight="true" outlineLevel="0" collapsed="false">
      <c r="B487" s="2" t="s">
        <v>107</v>
      </c>
      <c r="C487" s="2" t="s">
        <v>31</v>
      </c>
      <c r="D487" s="4" t="n">
        <v>7964304.16</v>
      </c>
      <c r="E487" s="1" t="str">
        <f aca="false">B487&amp;C487</f>
        <v>5510607000</v>
      </c>
      <c r="F487" s="5" t="n">
        <f aca="false">IFERROR(VLOOKUP(E487,'Legacy Data'!$C$2:$D$1702,2,FALSE()),"No legacy match")</f>
        <v>7964304.16</v>
      </c>
      <c r="G487" s="5" t="n">
        <f aca="false">IFERROR(F487-D487,"N/A")</f>
        <v>0</v>
      </c>
      <c r="H487" s="1" t="str">
        <f aca="false">IF(ISNUMBER(G487),IF(G487=0,"Match","Variance"),"Check")</f>
        <v>Match</v>
      </c>
    </row>
    <row r="488" customFormat="false" ht="15.75" hidden="false" customHeight="true" outlineLevel="0" collapsed="false">
      <c r="B488" s="2" t="s">
        <v>107</v>
      </c>
      <c r="C488" s="2" t="s">
        <v>32</v>
      </c>
      <c r="D488" s="4" t="n">
        <v>361156.73</v>
      </c>
      <c r="E488" s="1" t="str">
        <f aca="false">B488&amp;C488</f>
        <v>5510607010</v>
      </c>
      <c r="F488" s="5" t="n">
        <f aca="false">IFERROR(VLOOKUP(E488,'Legacy Data'!$C$2:$D$1702,2,FALSE()),"No legacy match")</f>
        <v>361156.73</v>
      </c>
      <c r="G488" s="5" t="n">
        <f aca="false">IFERROR(F488-D488,"N/A")</f>
        <v>0</v>
      </c>
      <c r="H488" s="1" t="str">
        <f aca="false">IF(ISNUMBER(G488),IF(G488=0,"Match","Variance"),"Check")</f>
        <v>Match</v>
      </c>
    </row>
    <row r="489" customFormat="false" ht="15.75" hidden="false" customHeight="true" outlineLevel="0" collapsed="false">
      <c r="B489" s="2" t="s">
        <v>107</v>
      </c>
      <c r="C489" s="2" t="s">
        <v>33</v>
      </c>
      <c r="D489" s="4" t="n">
        <v>16980815.89</v>
      </c>
      <c r="E489" s="1" t="str">
        <f aca="false">B489&amp;C489</f>
        <v>5510604031</v>
      </c>
      <c r="F489" s="5" t="n">
        <f aca="false">IFERROR(VLOOKUP(E489,'Legacy Data'!$C$2:$D$1702,2,FALSE()),"No legacy match")</f>
        <v>16980815.89</v>
      </c>
      <c r="G489" s="5" t="n">
        <f aca="false">IFERROR(F489-D489,"N/A")</f>
        <v>0</v>
      </c>
      <c r="H489" s="1" t="str">
        <f aca="false">IF(ISNUMBER(G489),IF(G489=0,"Match","Variance"),"Check")</f>
        <v>Match</v>
      </c>
    </row>
    <row r="490" customFormat="false" ht="15.75" hidden="false" customHeight="true" outlineLevel="0" collapsed="false">
      <c r="B490" s="2" t="s">
        <v>107</v>
      </c>
      <c r="C490" s="2" t="s">
        <v>75</v>
      </c>
      <c r="D490" s="4" t="n">
        <v>169626.67</v>
      </c>
      <c r="E490" s="1" t="str">
        <f aca="false">B490&amp;C490</f>
        <v>5510607040</v>
      </c>
      <c r="F490" s="5" t="n">
        <f aca="false">IFERROR(VLOOKUP(E490,'Legacy Data'!$C$2:$D$1702,2,FALSE()),"No legacy match")</f>
        <v>169626.67</v>
      </c>
      <c r="G490" s="5" t="n">
        <f aca="false">IFERROR(F490-D490,"N/A")</f>
        <v>0</v>
      </c>
      <c r="H490" s="1" t="str">
        <f aca="false">IF(ISNUMBER(G490),IF(G490=0,"Match","Variance"),"Check")</f>
        <v>Match</v>
      </c>
    </row>
    <row r="491" customFormat="false" ht="15.75" hidden="false" customHeight="true" outlineLevel="0" collapsed="false">
      <c r="B491" s="2" t="s">
        <v>107</v>
      </c>
      <c r="C491" s="2" t="s">
        <v>94</v>
      </c>
      <c r="D491" s="4" t="n">
        <v>2934629.56</v>
      </c>
      <c r="E491" s="1" t="str">
        <f aca="false">B491&amp;C491</f>
        <v>5510620000</v>
      </c>
      <c r="F491" s="5" t="n">
        <f aca="false">IFERROR(VLOOKUP(E491,'Legacy Data'!$C$2:$D$1702,2,FALSE()),"No legacy match")</f>
        <v>2934629.56</v>
      </c>
      <c r="G491" s="5" t="n">
        <f aca="false">IFERROR(F491-D491,"N/A")</f>
        <v>0</v>
      </c>
      <c r="H491" s="1" t="str">
        <f aca="false">IF(ISNUMBER(G491),IF(G491=0,"Match","Variance"),"Check")</f>
        <v>Match</v>
      </c>
    </row>
    <row r="492" customFormat="false" ht="15.75" hidden="false" customHeight="true" outlineLevel="0" collapsed="false">
      <c r="B492" s="2" t="s">
        <v>107</v>
      </c>
      <c r="C492" s="2" t="s">
        <v>96</v>
      </c>
      <c r="D492" s="4" t="n">
        <v>514060.13</v>
      </c>
      <c r="E492" s="1" t="str">
        <f aca="false">B492&amp;C492</f>
        <v>5510620020</v>
      </c>
      <c r="F492" s="5" t="n">
        <f aca="false">IFERROR(VLOOKUP(E492,'Legacy Data'!$C$2:$D$1702,2,FALSE()),"No legacy match")</f>
        <v>514060.13</v>
      </c>
      <c r="G492" s="5" t="n">
        <f aca="false">IFERROR(F492-D492,"N/A")</f>
        <v>0</v>
      </c>
      <c r="H492" s="1" t="str">
        <f aca="false">IF(ISNUMBER(G492),IF(G492=0,"Match","Variance"),"Check")</f>
        <v>Match</v>
      </c>
    </row>
    <row r="493" customFormat="false" ht="15.75" hidden="false" customHeight="true" outlineLevel="0" collapsed="false"/>
    <row r="494" customFormat="false" ht="15.75" hidden="false" customHeight="true" outlineLevel="0" collapsed="false">
      <c r="B494" s="6" t="s">
        <v>108</v>
      </c>
    </row>
    <row r="495" customFormat="false" ht="15.75" hidden="false" customHeight="true" outlineLevel="0" collapsed="false">
      <c r="B495" s="7" t="s">
        <v>109</v>
      </c>
      <c r="D495" s="1" t="n">
        <f aca="false">COUNTA(D4:D492)</f>
        <v>489</v>
      </c>
    </row>
    <row r="496" customFormat="false" ht="15.75" hidden="false" customHeight="true" outlineLevel="0" collapsed="false">
      <c r="B496" s="7" t="s">
        <v>110</v>
      </c>
      <c r="D496" s="1" t="n">
        <f aca="false">COUNTIF(H4:H492,"Match")</f>
        <v>489</v>
      </c>
    </row>
    <row r="497" customFormat="false" ht="15.75" hidden="false" customHeight="true" outlineLevel="0" collapsed="false">
      <c r="B497" s="7" t="s">
        <v>111</v>
      </c>
      <c r="D497" s="1" t="n">
        <f aca="false">COUNTIF(H4:H492,"Variance")</f>
        <v>0</v>
      </c>
    </row>
    <row r="498" customFormat="false" ht="15.75" hidden="false" customHeight="true" outlineLevel="0" collapsed="false">
      <c r="B498" s="7" t="s">
        <v>112</v>
      </c>
      <c r="D498" s="1" t="n">
        <f aca="false">COUNTIF(H4:H492,"Check")</f>
        <v>0</v>
      </c>
    </row>
    <row r="499" customFormat="false" ht="15.75" hidden="false" customHeight="true" outlineLevel="0" collapsed="false">
      <c r="B499" s="7" t="s">
        <v>113</v>
      </c>
      <c r="D499" s="5" t="n">
        <f aca="false">SUMPRODUCT(--ISNUMBER(G4:G492),ABS(IF(ISNUMBER(G4:G492),G4:G492,0)))</f>
        <v>0</v>
      </c>
    </row>
    <row r="500" customFormat="false" ht="15.75" hidden="false" customHeight="true" outlineLevel="0" collapsed="false">
      <c r="B500" s="7" t="s">
        <v>114</v>
      </c>
      <c r="D500" s="1" t="str">
        <f aca="false">IF(AND(D497=0,D498=0),"Data reconciles - Cloud (new system) matches Legacy system","Discrepancies found - see Variance column")</f>
        <v>Data reconciles - Cloud (new system) matches Legacy system</v>
      </c>
    </row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B3:D49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5" min="3" style="1" width="22"/>
    <col collapsed="false" customWidth="true" hidden="false" outlineLevel="0" max="6" min="6" style="1" width="18"/>
    <col collapsed="false" customWidth="true" hidden="false" outlineLevel="0" max="7" min="7" style="1" width="16"/>
  </cols>
  <sheetData>
    <row r="2" customFormat="false" ht="15.75" hidden="false" customHeight="true" outlineLevel="0" collapsed="false">
      <c r="B2" s="8" t="s">
        <v>115</v>
      </c>
    </row>
    <row r="4" customFormat="false" ht="27.75" hidden="false" customHeight="true" outlineLevel="0" collapsed="false">
      <c r="B4" s="9" t="s">
        <v>0</v>
      </c>
      <c r="C4" s="9" t="s">
        <v>116</v>
      </c>
      <c r="D4" s="9" t="s">
        <v>117</v>
      </c>
      <c r="E4" s="9" t="s">
        <v>5</v>
      </c>
      <c r="F4" s="9" t="s">
        <v>118</v>
      </c>
      <c r="G4" s="9" t="s">
        <v>119</v>
      </c>
    </row>
    <row r="5" customFormat="false" ht="15" hidden="false" customHeight="true" outlineLevel="0" collapsed="false">
      <c r="B5" s="10" t="s">
        <v>7</v>
      </c>
      <c r="C5" s="11" t="n">
        <f aca="false">SUMIF('Cloud System'!$B$4:$B$492,B5,'Cloud System'!$D$4:$D$492)</f>
        <v>2938026.11</v>
      </c>
      <c r="D5" s="11" t="n">
        <f aca="false">SUMIF('Cloud System'!$B$4:$B$492,B5,'Cloud System'!$F$4:$F$492)</f>
        <v>2938026.11</v>
      </c>
      <c r="E5" s="11" t="n">
        <f aca="false">D5-C5</f>
        <v>0</v>
      </c>
      <c r="F5" s="10" t="n">
        <f aca="false">COUNTIF('Cloud System'!$B$4:$B$492,B5)</f>
        <v>28</v>
      </c>
      <c r="G5" s="10" t="n">
        <f aca="false">COUNTIFS('Cloud System'!$B$4:$B$492,B5,'Cloud System'!$H$4:$H$492,"Variance")</f>
        <v>0</v>
      </c>
    </row>
    <row r="6" customFormat="false" ht="15" hidden="false" customHeight="true" outlineLevel="0" collapsed="false">
      <c r="B6" s="10" t="s">
        <v>36</v>
      </c>
      <c r="C6" s="11" t="n">
        <f aca="false">SUMIF('Cloud System'!$B$4:$B$492,B6,'Cloud System'!$D$4:$D$492)</f>
        <v>52.59</v>
      </c>
      <c r="D6" s="11" t="n">
        <f aca="false">SUMIF('Cloud System'!$B$4:$B$492,B6,'Cloud System'!$F$4:$F$492)</f>
        <v>52.59</v>
      </c>
      <c r="E6" s="11" t="n">
        <f aca="false">D6-C6</f>
        <v>0</v>
      </c>
      <c r="F6" s="10" t="n">
        <f aca="false">COUNTIF('Cloud System'!$B$4:$B$492,B6)</f>
        <v>1</v>
      </c>
      <c r="G6" s="10" t="n">
        <f aca="false">COUNTIFS('Cloud System'!$B$4:$B$492,B6,'Cloud System'!$H$4:$H$492,"Variance")</f>
        <v>0</v>
      </c>
    </row>
    <row r="7" customFormat="false" ht="15" hidden="false" customHeight="true" outlineLevel="0" collapsed="false">
      <c r="B7" s="10" t="s">
        <v>38</v>
      </c>
      <c r="C7" s="11" t="n">
        <f aca="false">SUMIF('Cloud System'!$B$4:$B$492,B7,'Cloud System'!$D$4:$D$492)</f>
        <v>107988.76</v>
      </c>
      <c r="D7" s="11" t="n">
        <f aca="false">SUMIF('Cloud System'!$B$4:$B$492,B7,'Cloud System'!$F$4:$F$492)</f>
        <v>107988.76</v>
      </c>
      <c r="E7" s="11" t="n">
        <f aca="false">D7-C7</f>
        <v>0</v>
      </c>
      <c r="F7" s="10" t="n">
        <f aca="false">COUNTIF('Cloud System'!$B$4:$B$492,B7)</f>
        <v>3</v>
      </c>
      <c r="G7" s="10" t="n">
        <f aca="false">COUNTIFS('Cloud System'!$B$4:$B$492,B7,'Cloud System'!$H$4:$H$492,"Variance")</f>
        <v>0</v>
      </c>
    </row>
    <row r="8" customFormat="false" ht="15" hidden="false" customHeight="true" outlineLevel="0" collapsed="false">
      <c r="B8" s="10" t="s">
        <v>40</v>
      </c>
      <c r="C8" s="11" t="n">
        <f aca="false">SUMIF('Cloud System'!$B$4:$B$492,B8,'Cloud System'!$D$4:$D$492)</f>
        <v>99088117</v>
      </c>
      <c r="D8" s="11" t="n">
        <f aca="false">SUMIF('Cloud System'!$B$4:$B$492,B8,'Cloud System'!$F$4:$F$492)</f>
        <v>99088117</v>
      </c>
      <c r="E8" s="11" t="n">
        <f aca="false">D8-C8</f>
        <v>0</v>
      </c>
      <c r="F8" s="10" t="n">
        <f aca="false">COUNTIF('Cloud System'!$B$4:$B$492,B8)</f>
        <v>54</v>
      </c>
      <c r="G8" s="10" t="n">
        <f aca="false">COUNTIFS('Cloud System'!$B$4:$B$492,B8,'Cloud System'!$H$4:$H$492,"Variance")</f>
        <v>0</v>
      </c>
    </row>
    <row r="9" customFormat="false" ht="15" hidden="false" customHeight="true" outlineLevel="0" collapsed="false">
      <c r="B9" s="10" t="s">
        <v>68</v>
      </c>
      <c r="C9" s="11" t="n">
        <f aca="false">SUMIF('Cloud System'!$B$4:$B$492,B9,'Cloud System'!$D$4:$D$492)</f>
        <v>14834664.17</v>
      </c>
      <c r="D9" s="11" t="n">
        <f aca="false">SUMIF('Cloud System'!$B$4:$B$492,B9,'Cloud System'!$F$4:$F$492)</f>
        <v>14834664.17</v>
      </c>
      <c r="E9" s="11" t="n">
        <f aca="false">D9-C9</f>
        <v>0</v>
      </c>
      <c r="F9" s="10" t="n">
        <f aca="false">COUNTIF('Cloud System'!$B$4:$B$492,B9)</f>
        <v>28</v>
      </c>
      <c r="G9" s="10" t="n">
        <f aca="false">COUNTIFS('Cloud System'!$B$4:$B$492,B9,'Cloud System'!$H$4:$H$492,"Variance")</f>
        <v>0</v>
      </c>
    </row>
    <row r="10" customFormat="false" ht="15" hidden="false" customHeight="true" outlineLevel="0" collapsed="false">
      <c r="B10" s="10" t="s">
        <v>69</v>
      </c>
      <c r="C10" s="11" t="n">
        <f aca="false">SUMIF('Cloud System'!$B$4:$B$492,B10,'Cloud System'!$D$4:$D$492)</f>
        <v>122850120.5</v>
      </c>
      <c r="D10" s="11" t="n">
        <f aca="false">SUMIF('Cloud System'!$B$4:$B$492,B10,'Cloud System'!$F$4:$F$492)</f>
        <v>122850120.5</v>
      </c>
      <c r="E10" s="11" t="n">
        <f aca="false">D10-C10</f>
        <v>0</v>
      </c>
      <c r="F10" s="10" t="n">
        <f aca="false">COUNTIF('Cloud System'!$B$4:$B$492,B10)</f>
        <v>44</v>
      </c>
      <c r="G10" s="10" t="n">
        <f aca="false">COUNTIFS('Cloud System'!$B$4:$B$492,B10,'Cloud System'!$H$4:$H$492,"Variance")</f>
        <v>0</v>
      </c>
    </row>
    <row r="11" customFormat="false" ht="15" hidden="false" customHeight="true" outlineLevel="0" collapsed="false">
      <c r="B11" s="10" t="s">
        <v>76</v>
      </c>
      <c r="C11" s="11" t="n">
        <f aca="false">SUMIF('Cloud System'!$B$4:$B$492,B11,'Cloud System'!$D$4:$D$492)</f>
        <v>187373802.45</v>
      </c>
      <c r="D11" s="11" t="n">
        <f aca="false">SUMIF('Cloud System'!$B$4:$B$492,B11,'Cloud System'!$F$4:$F$492)</f>
        <v>187373802.45</v>
      </c>
      <c r="E11" s="11" t="n">
        <f aca="false">D11-C11</f>
        <v>0</v>
      </c>
      <c r="F11" s="10" t="n">
        <f aca="false">COUNTIF('Cloud System'!$B$4:$B$492,B11)</f>
        <v>57</v>
      </c>
      <c r="G11" s="10" t="n">
        <f aca="false">COUNTIFS('Cloud System'!$B$4:$B$492,B11,'Cloud System'!$H$4:$H$492,"Variance")</f>
        <v>0</v>
      </c>
    </row>
    <row r="12" customFormat="false" ht="15" hidden="false" customHeight="true" outlineLevel="0" collapsed="false">
      <c r="B12" s="10" t="s">
        <v>84</v>
      </c>
      <c r="C12" s="11" t="n">
        <f aca="false">SUMIF('Cloud System'!$B$4:$B$492,B12,'Cloud System'!$D$4:$D$492)</f>
        <v>110</v>
      </c>
      <c r="D12" s="11" t="n">
        <f aca="false">SUMIF('Cloud System'!$B$4:$B$492,B12,'Cloud System'!$F$4:$F$492)</f>
        <v>110</v>
      </c>
      <c r="E12" s="11" t="n">
        <f aca="false">D12-C12</f>
        <v>0</v>
      </c>
      <c r="F12" s="10" t="n">
        <f aca="false">COUNTIF('Cloud System'!$B$4:$B$492,B12)</f>
        <v>1</v>
      </c>
      <c r="G12" s="10" t="n">
        <f aca="false">COUNTIFS('Cloud System'!$B$4:$B$492,B12,'Cloud System'!$H$4:$H$492,"Variance")</f>
        <v>0</v>
      </c>
    </row>
    <row r="13" customFormat="false" ht="15" hidden="false" customHeight="true" outlineLevel="0" collapsed="false">
      <c r="B13" s="10" t="s">
        <v>85</v>
      </c>
      <c r="C13" s="11" t="n">
        <f aca="false">SUMIF('Cloud System'!$B$4:$B$492,B13,'Cloud System'!$D$4:$D$492)</f>
        <v>10345789.82</v>
      </c>
      <c r="D13" s="11" t="n">
        <f aca="false">SUMIF('Cloud System'!$B$4:$B$492,B13,'Cloud System'!$F$4:$F$492)</f>
        <v>10345789.82</v>
      </c>
      <c r="E13" s="11" t="n">
        <f aca="false">D13-C13</f>
        <v>0</v>
      </c>
      <c r="F13" s="10" t="n">
        <f aca="false">COUNTIF('Cloud System'!$B$4:$B$492,B13)</f>
        <v>37</v>
      </c>
      <c r="G13" s="10" t="n">
        <f aca="false">COUNTIFS('Cloud System'!$B$4:$B$492,B13,'Cloud System'!$H$4:$H$492,"Variance")</f>
        <v>0</v>
      </c>
    </row>
    <row r="14" customFormat="false" ht="15" hidden="false" customHeight="true" outlineLevel="0" collapsed="false">
      <c r="B14" s="10" t="s">
        <v>88</v>
      </c>
      <c r="C14" s="11" t="n">
        <f aca="false">SUMIF('Cloud System'!$B$4:$B$492,B14,'Cloud System'!$D$4:$D$492)</f>
        <v>1793758.83</v>
      </c>
      <c r="D14" s="11" t="n">
        <f aca="false">SUMIF('Cloud System'!$B$4:$B$492,B14,'Cloud System'!$F$4:$F$492)</f>
        <v>1793758.83</v>
      </c>
      <c r="E14" s="11" t="n">
        <f aca="false">D14-C14</f>
        <v>0</v>
      </c>
      <c r="F14" s="10" t="n">
        <f aca="false">COUNTIF('Cloud System'!$B$4:$B$492,B14)</f>
        <v>25</v>
      </c>
      <c r="G14" s="10" t="n">
        <f aca="false">COUNTIFS('Cloud System'!$B$4:$B$492,B14,'Cloud System'!$H$4:$H$492,"Variance")</f>
        <v>0</v>
      </c>
    </row>
    <row r="15" customFormat="false" ht="15" hidden="false" customHeight="true" outlineLevel="0" collapsed="false">
      <c r="B15" s="10" t="s">
        <v>91</v>
      </c>
      <c r="C15" s="11" t="n">
        <f aca="false">SUMIF('Cloud System'!$B$4:$B$492,B15,'Cloud System'!$D$4:$D$492)</f>
        <v>244978540.69</v>
      </c>
      <c r="D15" s="11" t="n">
        <f aca="false">SUMIF('Cloud System'!$B$4:$B$492,B15,'Cloud System'!$F$4:$F$492)</f>
        <v>244978540.69</v>
      </c>
      <c r="E15" s="11" t="n">
        <f aca="false">D15-C15</f>
        <v>0</v>
      </c>
      <c r="F15" s="10" t="n">
        <f aca="false">COUNTIF('Cloud System'!$B$4:$B$492,B15)</f>
        <v>64</v>
      </c>
      <c r="G15" s="10" t="n">
        <f aca="false">COUNTIFS('Cloud System'!$B$4:$B$492,B15,'Cloud System'!$H$4:$H$492,"Variance")</f>
        <v>0</v>
      </c>
    </row>
    <row r="16" customFormat="false" ht="15" hidden="false" customHeight="true" outlineLevel="0" collapsed="false">
      <c r="B16" s="10" t="s">
        <v>99</v>
      </c>
      <c r="C16" s="11" t="n">
        <f aca="false">SUMIF('Cloud System'!$B$4:$B$492,B16,'Cloud System'!$D$4:$D$492)</f>
        <v>10700027.79</v>
      </c>
      <c r="D16" s="11" t="n">
        <f aca="false">SUMIF('Cloud System'!$B$4:$B$492,B16,'Cloud System'!$F$4:$F$492)</f>
        <v>10700027.79</v>
      </c>
      <c r="E16" s="11" t="n">
        <f aca="false">D16-C16</f>
        <v>0</v>
      </c>
      <c r="F16" s="10" t="n">
        <f aca="false">COUNTIF('Cloud System'!$B$4:$B$492,B16)</f>
        <v>38</v>
      </c>
      <c r="G16" s="10" t="n">
        <f aca="false">COUNTIFS('Cloud System'!$B$4:$B$492,B16,'Cloud System'!$H$4:$H$492,"Variance")</f>
        <v>0</v>
      </c>
    </row>
    <row r="17" customFormat="false" ht="15" hidden="false" customHeight="true" outlineLevel="0" collapsed="false">
      <c r="B17" s="10" t="s">
        <v>100</v>
      </c>
      <c r="C17" s="11" t="n">
        <f aca="false">SUMIF('Cloud System'!$B$4:$B$492,B17,'Cloud System'!$D$4:$D$492)</f>
        <v>2192209.56</v>
      </c>
      <c r="D17" s="11" t="n">
        <f aca="false">SUMIF('Cloud System'!$B$4:$B$492,B17,'Cloud System'!$F$4:$F$492)</f>
        <v>2192209.56</v>
      </c>
      <c r="E17" s="11" t="n">
        <f aca="false">D17-C17</f>
        <v>0</v>
      </c>
      <c r="F17" s="10" t="n">
        <f aca="false">COUNTIF('Cloud System'!$B$4:$B$492,B17)</f>
        <v>19</v>
      </c>
      <c r="G17" s="10" t="n">
        <f aca="false">COUNTIFS('Cloud System'!$B$4:$B$492,B17,'Cloud System'!$H$4:$H$492,"Variance")</f>
        <v>0</v>
      </c>
    </row>
    <row r="18" customFormat="false" ht="15" hidden="false" customHeight="true" outlineLevel="0" collapsed="false">
      <c r="B18" s="10" t="s">
        <v>101</v>
      </c>
      <c r="C18" s="11" t="n">
        <f aca="false">SUMIF('Cloud System'!$B$4:$B$492,B18,'Cloud System'!$D$4:$D$492)</f>
        <v>11679850.35</v>
      </c>
      <c r="D18" s="11" t="n">
        <f aca="false">SUMIF('Cloud System'!$B$4:$B$492,B18,'Cloud System'!$F$4:$F$492)</f>
        <v>11679850.35</v>
      </c>
      <c r="E18" s="11" t="n">
        <f aca="false">D18-C18</f>
        <v>0</v>
      </c>
      <c r="F18" s="10" t="n">
        <f aca="false">COUNTIF('Cloud System'!$B$4:$B$492,B18)</f>
        <v>27</v>
      </c>
      <c r="G18" s="10" t="n">
        <f aca="false">COUNTIFS('Cloud System'!$B$4:$B$492,B18,'Cloud System'!$H$4:$H$492,"Variance")</f>
        <v>0</v>
      </c>
    </row>
    <row r="19" customFormat="false" ht="15" hidden="false" customHeight="true" outlineLevel="0" collapsed="false">
      <c r="B19" s="10" t="s">
        <v>103</v>
      </c>
      <c r="C19" s="11" t="n">
        <f aca="false">SUMIF('Cloud System'!$B$4:$B$492,B19,'Cloud System'!$D$4:$D$492)</f>
        <v>3406878.13</v>
      </c>
      <c r="D19" s="11" t="n">
        <f aca="false">SUMIF('Cloud System'!$B$4:$B$492,B19,'Cloud System'!$F$4:$F$492)</f>
        <v>3406878.13</v>
      </c>
      <c r="E19" s="11" t="n">
        <f aca="false">D19-C19</f>
        <v>0</v>
      </c>
      <c r="F19" s="10" t="n">
        <f aca="false">COUNTIF('Cloud System'!$B$4:$B$492,B19)</f>
        <v>4</v>
      </c>
      <c r="G19" s="10" t="n">
        <f aca="false">COUNTIFS('Cloud System'!$B$4:$B$492,B19,'Cloud System'!$H$4:$H$492,"Variance")</f>
        <v>0</v>
      </c>
    </row>
    <row r="20" customFormat="false" ht="15" hidden="false" customHeight="true" outlineLevel="0" collapsed="false">
      <c r="B20" s="10" t="s">
        <v>105</v>
      </c>
      <c r="C20" s="11" t="n">
        <f aca="false">SUMIF('Cloud System'!$B$4:$B$492,B20,'Cloud System'!$D$4:$D$492)</f>
        <v>36422.33</v>
      </c>
      <c r="D20" s="11" t="n">
        <f aca="false">SUMIF('Cloud System'!$B$4:$B$492,B20,'Cloud System'!$F$4:$F$492)</f>
        <v>36422.33</v>
      </c>
      <c r="E20" s="11" t="n">
        <f aca="false">D20-C20</f>
        <v>0</v>
      </c>
      <c r="F20" s="10" t="n">
        <f aca="false">COUNTIF('Cloud System'!$B$4:$B$492,B20)</f>
        <v>2</v>
      </c>
      <c r="G20" s="10" t="n">
        <f aca="false">COUNTIFS('Cloud System'!$B$4:$B$492,B20,'Cloud System'!$H$4:$H$492,"Variance")</f>
        <v>0</v>
      </c>
    </row>
    <row r="21" customFormat="false" ht="15" hidden="false" customHeight="true" outlineLevel="0" collapsed="false">
      <c r="B21" s="10" t="s">
        <v>106</v>
      </c>
      <c r="C21" s="11" t="n">
        <f aca="false">SUMIF('Cloud System'!$B$4:$B$492,B21,'Cloud System'!$D$4:$D$492)</f>
        <v>574547.42</v>
      </c>
      <c r="D21" s="11" t="n">
        <f aca="false">SUMIF('Cloud System'!$B$4:$B$492,B21,'Cloud System'!$F$4:$F$492)</f>
        <v>574547.42</v>
      </c>
      <c r="E21" s="11" t="n">
        <f aca="false">D21-C21</f>
        <v>0</v>
      </c>
      <c r="F21" s="10" t="n">
        <f aca="false">COUNTIF('Cloud System'!$B$4:$B$492,B21)</f>
        <v>13</v>
      </c>
      <c r="G21" s="10" t="n">
        <f aca="false">COUNTIFS('Cloud System'!$B$4:$B$492,B21,'Cloud System'!$H$4:$H$492,"Variance")</f>
        <v>0</v>
      </c>
    </row>
    <row r="22" customFormat="false" ht="15" hidden="false" customHeight="true" outlineLevel="0" collapsed="false">
      <c r="B22" s="10" t="s">
        <v>107</v>
      </c>
      <c r="C22" s="11" t="n">
        <f aca="false">SUMIF('Cloud System'!$B$4:$B$492,B22,'Cloud System'!$D$4:$D$492)</f>
        <v>57024519.01</v>
      </c>
      <c r="D22" s="11" t="n">
        <f aca="false">SUMIF('Cloud System'!$B$4:$B$492,B22,'Cloud System'!$F$4:$F$492)</f>
        <v>57024519.01</v>
      </c>
      <c r="E22" s="11" t="n">
        <f aca="false">D22-C22</f>
        <v>0</v>
      </c>
      <c r="F22" s="10" t="n">
        <f aca="false">COUNTIF('Cloud System'!$B$4:$B$492,B22)</f>
        <v>44</v>
      </c>
      <c r="G22" s="10" t="n">
        <f aca="false">COUNTIFS('Cloud System'!$B$4:$B$492,B22,'Cloud System'!$H$4:$H$492,"Variance")</f>
        <v>0</v>
      </c>
    </row>
    <row r="23" customFormat="false" ht="15" hidden="false" customHeight="true" outlineLevel="0" collapsed="false">
      <c r="B23" s="6" t="s">
        <v>120</v>
      </c>
      <c r="C23" s="12" t="n">
        <f aca="false">SUM(C5:C22)</f>
        <v>769925425.51</v>
      </c>
      <c r="D23" s="12" t="n">
        <f aca="false">SUM(D5:D22)</f>
        <v>769925425.51</v>
      </c>
      <c r="E23" s="12" t="n">
        <f aca="false">SUM(E5:E22)</f>
        <v>0</v>
      </c>
      <c r="F23" s="6" t="n">
        <f aca="false">SUM(F5:F22)</f>
        <v>489</v>
      </c>
      <c r="G23" s="6" t="n">
        <f aca="false">SUM(G5:G22)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3" style="1" width="20"/>
    <col collapsed="false" customWidth="true" hidden="false" outlineLevel="0" max="4" min="4" style="1" width="34.5"/>
    <col collapsed="false" customWidth="true" hidden="false" outlineLevel="0" max="26" min="5" style="1" width="7.6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3</v>
      </c>
      <c r="D1" s="2" t="s">
        <v>121</v>
      </c>
    </row>
    <row r="2" customFormat="false" ht="15" hidden="false" customHeight="true" outlineLevel="0" collapsed="false">
      <c r="A2" s="2" t="s">
        <v>122</v>
      </c>
      <c r="B2" s="2" t="s">
        <v>123</v>
      </c>
      <c r="C2" s="1" t="str">
        <f aca="false">A2&amp;B2</f>
        <v>1650243000</v>
      </c>
      <c r="D2" s="13" t="n">
        <v>1181874.6</v>
      </c>
    </row>
    <row r="3" customFormat="false" ht="15" hidden="false" customHeight="true" outlineLevel="0" collapsed="false">
      <c r="A3" s="2" t="s">
        <v>122</v>
      </c>
      <c r="B3" s="2" t="s">
        <v>124</v>
      </c>
      <c r="C3" s="1" t="str">
        <f aca="false">A3&amp;B3</f>
        <v>1650243003</v>
      </c>
      <c r="D3" s="13" t="n">
        <v>199515.69</v>
      </c>
    </row>
    <row r="4" customFormat="false" ht="15" hidden="false" customHeight="true" outlineLevel="0" collapsed="false">
      <c r="A4" s="2" t="s">
        <v>122</v>
      </c>
      <c r="B4" s="2" t="s">
        <v>125</v>
      </c>
      <c r="C4" s="1" t="str">
        <f aca="false">A4&amp;B4</f>
        <v>1650243005</v>
      </c>
      <c r="D4" s="13" t="n">
        <v>-47984.71</v>
      </c>
    </row>
    <row r="5" customFormat="false" ht="15" hidden="false" customHeight="true" outlineLevel="0" collapsed="false">
      <c r="A5" s="2" t="s">
        <v>122</v>
      </c>
      <c r="B5" s="2" t="s">
        <v>126</v>
      </c>
      <c r="C5" s="1" t="str">
        <f aca="false">A5&amp;B5</f>
        <v>1650300002</v>
      </c>
      <c r="D5" s="13" t="n">
        <v>-1</v>
      </c>
    </row>
    <row r="6" customFormat="false" ht="15" hidden="false" customHeight="true" outlineLevel="0" collapsed="false">
      <c r="A6" s="2" t="s">
        <v>122</v>
      </c>
      <c r="B6" s="2" t="s">
        <v>127</v>
      </c>
      <c r="C6" s="1" t="str">
        <f aca="false">A6&amp;B6</f>
        <v>1650320000</v>
      </c>
      <c r="D6" s="13" t="n">
        <v>-1333404.58</v>
      </c>
    </row>
    <row r="7" customFormat="false" ht="15" hidden="false" customHeight="true" outlineLevel="0" collapsed="false">
      <c r="A7" s="2" t="s">
        <v>7</v>
      </c>
      <c r="B7" s="2" t="s">
        <v>128</v>
      </c>
      <c r="C7" s="1" t="str">
        <f aca="false">A7&amp;B7</f>
        <v>2000101011</v>
      </c>
      <c r="D7" s="13" t="n">
        <v>-22918.48</v>
      </c>
    </row>
    <row r="8" customFormat="false" ht="15" hidden="false" customHeight="true" outlineLevel="0" collapsed="false">
      <c r="A8" s="2" t="s">
        <v>7</v>
      </c>
      <c r="B8" s="2" t="s">
        <v>129</v>
      </c>
      <c r="C8" s="1" t="str">
        <f aca="false">A8&amp;B8</f>
        <v>2000110098</v>
      </c>
      <c r="D8" s="13" t="n">
        <v>0</v>
      </c>
    </row>
    <row r="9" customFormat="false" ht="15" hidden="false" customHeight="true" outlineLevel="0" collapsed="false">
      <c r="A9" s="2" t="s">
        <v>7</v>
      </c>
      <c r="B9" s="2" t="s">
        <v>130</v>
      </c>
      <c r="C9" s="1" t="str">
        <f aca="false">A9&amp;B9</f>
        <v>2000113000</v>
      </c>
      <c r="D9" s="13" t="n">
        <v>1106474</v>
      </c>
    </row>
    <row r="10" customFormat="false" ht="15" hidden="false" customHeight="true" outlineLevel="0" collapsed="false">
      <c r="A10" s="2" t="s">
        <v>7</v>
      </c>
      <c r="B10" s="2" t="s">
        <v>131</v>
      </c>
      <c r="C10" s="1" t="str">
        <f aca="false">A10&amp;B10</f>
        <v>2000120000</v>
      </c>
      <c r="D10" s="13" t="n">
        <v>1578588.49</v>
      </c>
    </row>
    <row r="11" customFormat="false" ht="15" hidden="false" customHeight="true" outlineLevel="0" collapsed="false">
      <c r="A11" s="2" t="s">
        <v>7</v>
      </c>
      <c r="B11" s="2" t="s">
        <v>132</v>
      </c>
      <c r="C11" s="1" t="str">
        <f aca="false">A11&amp;B11</f>
        <v>2000120040</v>
      </c>
      <c r="D11" s="13" t="n">
        <v>558796.54</v>
      </c>
    </row>
    <row r="12" customFormat="false" ht="15" hidden="false" customHeight="true" outlineLevel="0" collapsed="false">
      <c r="A12" s="2" t="s">
        <v>7</v>
      </c>
      <c r="B12" s="2" t="s">
        <v>133</v>
      </c>
      <c r="C12" s="1" t="str">
        <f aca="false">A12&amp;B12</f>
        <v>2000140002</v>
      </c>
      <c r="D12" s="13" t="n">
        <v>0</v>
      </c>
    </row>
    <row r="13" customFormat="false" ht="15" hidden="false" customHeight="true" outlineLevel="0" collapsed="false">
      <c r="A13" s="2" t="s">
        <v>7</v>
      </c>
      <c r="B13" s="2" t="s">
        <v>134</v>
      </c>
      <c r="C13" s="1" t="str">
        <f aca="false">A13&amp;B13</f>
        <v>2000160000</v>
      </c>
      <c r="D13" s="13" t="n">
        <v>122735.58</v>
      </c>
    </row>
    <row r="14" customFormat="false" ht="15" hidden="false" customHeight="true" outlineLevel="0" collapsed="false">
      <c r="A14" s="2" t="s">
        <v>7</v>
      </c>
      <c r="B14" s="2" t="s">
        <v>135</v>
      </c>
      <c r="C14" s="1" t="str">
        <f aca="false">A14&amp;B14</f>
        <v>2000160100</v>
      </c>
      <c r="D14" s="13" t="n">
        <v>160307.34</v>
      </c>
    </row>
    <row r="15" customFormat="false" ht="15" hidden="false" customHeight="true" outlineLevel="0" collapsed="false">
      <c r="A15" s="2" t="s">
        <v>7</v>
      </c>
      <c r="B15" s="2" t="s">
        <v>136</v>
      </c>
      <c r="C15" s="1" t="str">
        <f aca="false">A15&amp;B15</f>
        <v>2000160150</v>
      </c>
      <c r="D15" s="13" t="n">
        <v>-99164.76</v>
      </c>
    </row>
    <row r="16" customFormat="false" ht="15" hidden="false" customHeight="true" outlineLevel="0" collapsed="false">
      <c r="A16" s="2" t="s">
        <v>7</v>
      </c>
      <c r="B16" s="2" t="s">
        <v>137</v>
      </c>
      <c r="C16" s="1" t="str">
        <f aca="false">A16&amp;B16</f>
        <v>2000160200</v>
      </c>
      <c r="D16" s="13" t="n">
        <v>120228638.99</v>
      </c>
    </row>
    <row r="17" customFormat="false" ht="15" hidden="false" customHeight="true" outlineLevel="0" collapsed="false">
      <c r="A17" s="2" t="s">
        <v>7</v>
      </c>
      <c r="B17" s="2" t="s">
        <v>138</v>
      </c>
      <c r="C17" s="1" t="str">
        <f aca="false">A17&amp;B17</f>
        <v>2000160201</v>
      </c>
      <c r="D17" s="13" t="n">
        <v>474279.94</v>
      </c>
    </row>
    <row r="18" customFormat="false" ht="15" hidden="false" customHeight="true" outlineLevel="0" collapsed="false">
      <c r="A18" s="2" t="s">
        <v>7</v>
      </c>
      <c r="B18" s="2" t="s">
        <v>139</v>
      </c>
      <c r="C18" s="1" t="str">
        <f aca="false">A18&amp;B18</f>
        <v>2000160250</v>
      </c>
      <c r="D18" s="13" t="n">
        <v>-73304794.99</v>
      </c>
    </row>
    <row r="19" customFormat="false" ht="15" hidden="false" customHeight="true" outlineLevel="0" collapsed="false">
      <c r="A19" s="2" t="s">
        <v>7</v>
      </c>
      <c r="B19" s="2" t="s">
        <v>140</v>
      </c>
      <c r="C19" s="1" t="str">
        <f aca="false">A19&amp;B19</f>
        <v>2000160251</v>
      </c>
      <c r="D19" s="13" t="n">
        <v>-166752.13</v>
      </c>
    </row>
    <row r="20" customFormat="false" ht="15" hidden="false" customHeight="true" outlineLevel="0" collapsed="false">
      <c r="A20" s="2" t="s">
        <v>7</v>
      </c>
      <c r="B20" s="2" t="s">
        <v>141</v>
      </c>
      <c r="C20" s="1" t="str">
        <f aca="false">A20&amp;B20</f>
        <v>2000160302</v>
      </c>
      <c r="D20" s="13" t="n">
        <v>62572.06</v>
      </c>
    </row>
    <row r="21" customFormat="false" ht="15.75" hidden="false" customHeight="true" outlineLevel="0" collapsed="false">
      <c r="A21" s="2" t="s">
        <v>7</v>
      </c>
      <c r="B21" s="2" t="s">
        <v>142</v>
      </c>
      <c r="C21" s="1" t="str">
        <f aca="false">A21&amp;B21</f>
        <v>2000160352</v>
      </c>
      <c r="D21" s="13" t="n">
        <v>-4171.47</v>
      </c>
    </row>
    <row r="22" customFormat="false" ht="15.75" hidden="false" customHeight="true" outlineLevel="0" collapsed="false">
      <c r="A22" s="2" t="s">
        <v>7</v>
      </c>
      <c r="B22" s="2" t="s">
        <v>143</v>
      </c>
      <c r="C22" s="1" t="str">
        <f aca="false">A22&amp;B22</f>
        <v>2000165200</v>
      </c>
      <c r="D22" s="13" t="n">
        <v>30106242.81</v>
      </c>
    </row>
    <row r="23" customFormat="false" ht="15.75" hidden="false" customHeight="true" outlineLevel="0" collapsed="false">
      <c r="A23" s="2" t="s">
        <v>7</v>
      </c>
      <c r="B23" s="2" t="s">
        <v>144</v>
      </c>
      <c r="C23" s="1" t="str">
        <f aca="false">A23&amp;B23</f>
        <v>2000169999</v>
      </c>
      <c r="D23" s="13" t="n">
        <v>0</v>
      </c>
    </row>
    <row r="24" customFormat="false" ht="15.75" hidden="false" customHeight="true" outlineLevel="0" collapsed="false">
      <c r="A24" s="2" t="s">
        <v>7</v>
      </c>
      <c r="B24" s="2" t="s">
        <v>145</v>
      </c>
      <c r="C24" s="1" t="str">
        <f aca="false">A24&amp;B24</f>
        <v>2000193000</v>
      </c>
      <c r="D24" s="13" t="n">
        <v>2919822</v>
      </c>
    </row>
    <row r="25" customFormat="false" ht="15.75" hidden="false" customHeight="true" outlineLevel="0" collapsed="false">
      <c r="A25" s="2" t="s">
        <v>7</v>
      </c>
      <c r="B25" s="2" t="s">
        <v>146</v>
      </c>
      <c r="C25" s="1" t="str">
        <f aca="false">A25&amp;B25</f>
        <v>2000200000</v>
      </c>
      <c r="D25" s="13" t="n">
        <v>-100000</v>
      </c>
    </row>
    <row r="26" customFormat="false" ht="15.75" hidden="false" customHeight="true" outlineLevel="0" collapsed="false">
      <c r="A26" s="2" t="s">
        <v>7</v>
      </c>
      <c r="B26" s="2" t="s">
        <v>147</v>
      </c>
      <c r="C26" s="1" t="str">
        <f aca="false">A26&amp;B26</f>
        <v>2000200004</v>
      </c>
      <c r="D26" s="13" t="n">
        <v>-13950.54</v>
      </c>
    </row>
    <row r="27" customFormat="false" ht="15.75" hidden="false" customHeight="true" outlineLevel="0" collapsed="false">
      <c r="A27" s="2" t="s">
        <v>7</v>
      </c>
      <c r="B27" s="2" t="s">
        <v>148</v>
      </c>
      <c r="C27" s="1" t="str">
        <f aca="false">A27&amp;B27</f>
        <v>2000200098</v>
      </c>
      <c r="D27" s="13" t="n">
        <v>-363338.23</v>
      </c>
    </row>
    <row r="28" customFormat="false" ht="15.75" hidden="false" customHeight="true" outlineLevel="0" collapsed="false">
      <c r="A28" s="2" t="s">
        <v>7</v>
      </c>
      <c r="B28" s="2" t="s">
        <v>149</v>
      </c>
      <c r="C28" s="1" t="str">
        <f aca="false">A28&amp;B28</f>
        <v>2000200208</v>
      </c>
      <c r="D28" s="13" t="n">
        <v>-17876.97</v>
      </c>
    </row>
    <row r="29" customFormat="false" ht="15.75" hidden="false" customHeight="true" outlineLevel="0" collapsed="false">
      <c r="A29" s="2" t="s">
        <v>7</v>
      </c>
      <c r="B29" s="2" t="s">
        <v>150</v>
      </c>
      <c r="C29" s="1" t="str">
        <f aca="false">A29&amp;B29</f>
        <v>2000200302</v>
      </c>
      <c r="D29" s="13" t="n">
        <v>-86523.5</v>
      </c>
    </row>
    <row r="30" customFormat="false" ht="15.75" hidden="false" customHeight="true" outlineLevel="0" collapsed="false">
      <c r="A30" s="2" t="s">
        <v>7</v>
      </c>
      <c r="B30" s="2" t="s">
        <v>151</v>
      </c>
      <c r="C30" s="1" t="str">
        <f aca="false">A30&amp;B30</f>
        <v>2000201000</v>
      </c>
      <c r="D30" s="13" t="n">
        <v>-113026</v>
      </c>
    </row>
    <row r="31" customFormat="false" ht="15.75" hidden="false" customHeight="true" outlineLevel="0" collapsed="false">
      <c r="A31" s="2" t="s">
        <v>7</v>
      </c>
      <c r="B31" s="2" t="s">
        <v>152</v>
      </c>
      <c r="C31" s="1" t="str">
        <f aca="false">A31&amp;B31</f>
        <v>2000201001</v>
      </c>
      <c r="D31" s="13" t="n">
        <v>-5752.43</v>
      </c>
    </row>
    <row r="32" customFormat="false" ht="15.75" hidden="false" customHeight="true" outlineLevel="0" collapsed="false">
      <c r="A32" s="2" t="s">
        <v>7</v>
      </c>
      <c r="B32" s="2" t="s">
        <v>153</v>
      </c>
      <c r="C32" s="1" t="str">
        <f aca="false">A32&amp;B32</f>
        <v>2000201203</v>
      </c>
      <c r="D32" s="13" t="n">
        <v>-0.42</v>
      </c>
    </row>
    <row r="33" customFormat="false" ht="15.75" hidden="false" customHeight="true" outlineLevel="0" collapsed="false">
      <c r="A33" s="2" t="s">
        <v>7</v>
      </c>
      <c r="B33" s="2" t="s">
        <v>154</v>
      </c>
      <c r="C33" s="1" t="str">
        <f aca="false">A33&amp;B33</f>
        <v>2000201300</v>
      </c>
      <c r="D33" s="13" t="n">
        <v>-37119.27</v>
      </c>
    </row>
    <row r="34" customFormat="false" ht="15.75" hidden="false" customHeight="true" outlineLevel="0" collapsed="false">
      <c r="A34" s="2" t="s">
        <v>7</v>
      </c>
      <c r="B34" s="2" t="s">
        <v>155</v>
      </c>
      <c r="C34" s="1" t="str">
        <f aca="false">A34&amp;B34</f>
        <v>2000201302</v>
      </c>
      <c r="D34" s="13" t="n">
        <v>-132048.07</v>
      </c>
    </row>
    <row r="35" customFormat="false" ht="15.75" hidden="false" customHeight="true" outlineLevel="0" collapsed="false">
      <c r="A35" s="2" t="s">
        <v>7</v>
      </c>
      <c r="B35" s="2" t="s">
        <v>156</v>
      </c>
      <c r="C35" s="1" t="str">
        <f aca="false">A35&amp;B35</f>
        <v>2000201400</v>
      </c>
      <c r="D35" s="13" t="n">
        <v>-4430.28</v>
      </c>
    </row>
    <row r="36" customFormat="false" ht="15.75" hidden="false" customHeight="true" outlineLevel="0" collapsed="false">
      <c r="A36" s="2" t="s">
        <v>7</v>
      </c>
      <c r="B36" s="2" t="s">
        <v>157</v>
      </c>
      <c r="C36" s="1" t="str">
        <f aca="false">A36&amp;B36</f>
        <v>2000204020</v>
      </c>
      <c r="D36" s="13" t="n">
        <v>79460.5</v>
      </c>
    </row>
    <row r="37" customFormat="false" ht="15.75" hidden="false" customHeight="true" outlineLevel="0" collapsed="false">
      <c r="A37" s="2" t="s">
        <v>7</v>
      </c>
      <c r="B37" s="2" t="s">
        <v>158</v>
      </c>
      <c r="C37" s="1" t="str">
        <f aca="false">A37&amp;B37</f>
        <v>2000210000</v>
      </c>
      <c r="D37" s="13" t="n">
        <v>-90861.1</v>
      </c>
    </row>
    <row r="38" customFormat="false" ht="15.75" hidden="false" customHeight="true" outlineLevel="0" collapsed="false">
      <c r="A38" s="2" t="s">
        <v>7</v>
      </c>
      <c r="B38" s="2" t="s">
        <v>159</v>
      </c>
      <c r="C38" s="1" t="str">
        <f aca="false">A38&amp;B38</f>
        <v>2000210002</v>
      </c>
      <c r="D38" s="13" t="n">
        <v>-202350.14</v>
      </c>
    </row>
    <row r="39" customFormat="false" ht="15.75" hidden="false" customHeight="true" outlineLevel="0" collapsed="false">
      <c r="A39" s="2" t="s">
        <v>7</v>
      </c>
      <c r="B39" s="2" t="s">
        <v>160</v>
      </c>
      <c r="C39" s="1" t="str">
        <f aca="false">A39&amp;B39</f>
        <v>2000220001</v>
      </c>
      <c r="D39" s="13" t="n">
        <v>3902.92</v>
      </c>
    </row>
    <row r="40" customFormat="false" ht="15.75" hidden="false" customHeight="true" outlineLevel="0" collapsed="false">
      <c r="A40" s="2" t="s">
        <v>7</v>
      </c>
      <c r="B40" s="2" t="s">
        <v>123</v>
      </c>
      <c r="C40" s="1" t="str">
        <f aca="false">A40&amp;B40</f>
        <v>2000243000</v>
      </c>
      <c r="D40" s="13" t="n">
        <v>-69393726.82</v>
      </c>
    </row>
    <row r="41" customFormat="false" ht="15.75" hidden="false" customHeight="true" outlineLevel="0" collapsed="false">
      <c r="A41" s="2" t="s">
        <v>7</v>
      </c>
      <c r="B41" s="2" t="s">
        <v>124</v>
      </c>
      <c r="C41" s="1" t="str">
        <f aca="false">A41&amp;B41</f>
        <v>2000243003</v>
      </c>
      <c r="D41" s="13" t="n">
        <v>-82727160.11</v>
      </c>
    </row>
    <row r="42" customFormat="false" ht="15.75" hidden="false" customHeight="true" outlineLevel="0" collapsed="false">
      <c r="A42" s="2" t="s">
        <v>7</v>
      </c>
      <c r="B42" s="2" t="s">
        <v>125</v>
      </c>
      <c r="C42" s="1" t="str">
        <f aca="false">A42&amp;B42</f>
        <v>2000243005</v>
      </c>
      <c r="D42" s="13" t="n">
        <v>34960448</v>
      </c>
    </row>
    <row r="43" customFormat="false" ht="15.75" hidden="false" customHeight="true" outlineLevel="0" collapsed="false">
      <c r="A43" s="2" t="s">
        <v>7</v>
      </c>
      <c r="B43" s="2" t="s">
        <v>161</v>
      </c>
      <c r="C43" s="1" t="str">
        <f aca="false">A43&amp;B43</f>
        <v>2000243006</v>
      </c>
      <c r="D43" s="13" t="n">
        <v>0</v>
      </c>
    </row>
    <row r="44" customFormat="false" ht="15.75" hidden="false" customHeight="true" outlineLevel="0" collapsed="false">
      <c r="A44" s="2" t="s">
        <v>7</v>
      </c>
      <c r="B44" s="2" t="s">
        <v>162</v>
      </c>
      <c r="C44" s="1" t="str">
        <f aca="false">A44&amp;B44</f>
        <v>2000250000</v>
      </c>
      <c r="D44" s="13" t="n">
        <v>-10535.59</v>
      </c>
    </row>
    <row r="45" customFormat="false" ht="15.75" hidden="false" customHeight="true" outlineLevel="0" collapsed="false">
      <c r="A45" s="2" t="s">
        <v>7</v>
      </c>
      <c r="B45" s="2" t="s">
        <v>163</v>
      </c>
      <c r="C45" s="1" t="str">
        <f aca="false">A45&amp;B45</f>
        <v>2000250100</v>
      </c>
      <c r="D45" s="13" t="n">
        <v>-9638015.75</v>
      </c>
    </row>
    <row r="46" customFormat="false" ht="15.75" hidden="false" customHeight="true" outlineLevel="0" collapsed="false">
      <c r="A46" s="2" t="s">
        <v>7</v>
      </c>
      <c r="B46" s="2" t="s">
        <v>164</v>
      </c>
      <c r="C46" s="1" t="str">
        <f aca="false">A46&amp;B46</f>
        <v>2000260003</v>
      </c>
      <c r="D46" s="13" t="n">
        <v>-62572.06</v>
      </c>
    </row>
    <row r="47" customFormat="false" ht="15.75" hidden="false" customHeight="true" outlineLevel="0" collapsed="false">
      <c r="A47" s="2" t="s">
        <v>7</v>
      </c>
      <c r="B47" s="2" t="s">
        <v>165</v>
      </c>
      <c r="C47" s="1" t="str">
        <f aca="false">A47&amp;B47</f>
        <v>2000280000</v>
      </c>
      <c r="D47" s="13" t="n">
        <v>4527540</v>
      </c>
    </row>
    <row r="48" customFormat="false" ht="15.75" hidden="false" customHeight="true" outlineLevel="0" collapsed="false">
      <c r="A48" s="2" t="s">
        <v>7</v>
      </c>
      <c r="B48" s="2" t="s">
        <v>126</v>
      </c>
      <c r="C48" s="1" t="str">
        <f aca="false">A48&amp;B48</f>
        <v>2000300002</v>
      </c>
      <c r="D48" s="13" t="n">
        <v>-2</v>
      </c>
    </row>
    <row r="49" customFormat="false" ht="15.75" hidden="false" customHeight="true" outlineLevel="0" collapsed="false">
      <c r="A49" s="2" t="s">
        <v>7</v>
      </c>
      <c r="B49" s="2" t="s">
        <v>127</v>
      </c>
      <c r="C49" s="1" t="str">
        <f aca="false">A49&amp;B49</f>
        <v>2000320000</v>
      </c>
      <c r="D49" s="13" t="n">
        <v>41155201.94</v>
      </c>
    </row>
    <row r="50" customFormat="false" ht="15.75" hidden="false" customHeight="true" outlineLevel="0" collapsed="false">
      <c r="A50" s="2" t="s">
        <v>7</v>
      </c>
      <c r="B50" s="2" t="s">
        <v>166</v>
      </c>
      <c r="C50" s="1" t="str">
        <f aca="false">A50&amp;B50</f>
        <v>2000501200</v>
      </c>
      <c r="D50" s="13" t="n">
        <v>-18156255.53</v>
      </c>
    </row>
    <row r="51" customFormat="false" ht="15.75" hidden="false" customHeight="true" outlineLevel="0" collapsed="false">
      <c r="A51" s="2" t="s">
        <v>7</v>
      </c>
      <c r="B51" s="2" t="s">
        <v>167</v>
      </c>
      <c r="C51" s="1" t="str">
        <f aca="false">A51&amp;B51</f>
        <v>2000501202</v>
      </c>
      <c r="D51" s="13" t="n">
        <v>15828.62</v>
      </c>
    </row>
    <row r="52" customFormat="false" ht="15.75" hidden="false" customHeight="true" outlineLevel="0" collapsed="false">
      <c r="A52" s="2" t="s">
        <v>7</v>
      </c>
      <c r="B52" s="2" t="s">
        <v>168</v>
      </c>
      <c r="C52" s="1" t="str">
        <f aca="false">A52&amp;B52</f>
        <v>2000514001</v>
      </c>
      <c r="D52" s="13" t="n">
        <v>-941</v>
      </c>
    </row>
    <row r="53" customFormat="false" ht="15.75" hidden="false" customHeight="true" outlineLevel="0" collapsed="false">
      <c r="A53" s="2" t="s">
        <v>7</v>
      </c>
      <c r="B53" s="2" t="s">
        <v>169</v>
      </c>
      <c r="C53" s="1" t="str">
        <f aca="false">A53&amp;B53</f>
        <v>2000601107</v>
      </c>
      <c r="D53" s="13" t="n">
        <v>39068.4</v>
      </c>
    </row>
    <row r="54" customFormat="false" ht="15.75" hidden="false" customHeight="true" outlineLevel="0" collapsed="false">
      <c r="A54" s="2" t="s">
        <v>7</v>
      </c>
      <c r="B54" s="2" t="s">
        <v>170</v>
      </c>
      <c r="C54" s="1" t="str">
        <f aca="false">A54&amp;B54</f>
        <v>2000601111</v>
      </c>
      <c r="D54" s="13" t="n">
        <v>964980.38</v>
      </c>
    </row>
    <row r="55" customFormat="false" ht="15.75" hidden="false" customHeight="true" outlineLevel="0" collapsed="false">
      <c r="A55" s="2" t="s">
        <v>7</v>
      </c>
      <c r="B55" s="2" t="s">
        <v>171</v>
      </c>
      <c r="C55" s="1" t="str">
        <f aca="false">A55&amp;B55</f>
        <v>2000601113</v>
      </c>
      <c r="D55" s="13" t="n">
        <v>327889.57</v>
      </c>
    </row>
    <row r="56" customFormat="false" ht="15.75" hidden="false" customHeight="true" outlineLevel="0" collapsed="false">
      <c r="A56" s="2" t="s">
        <v>7</v>
      </c>
      <c r="B56" s="2" t="s">
        <v>172</v>
      </c>
      <c r="C56" s="1" t="str">
        <f aca="false">A56&amp;B56</f>
        <v>2000601114</v>
      </c>
      <c r="D56" s="13" t="n">
        <v>-0.76</v>
      </c>
    </row>
    <row r="57" customFormat="false" ht="15.75" hidden="false" customHeight="true" outlineLevel="0" collapsed="false">
      <c r="A57" s="2" t="s">
        <v>7</v>
      </c>
      <c r="B57" s="2" t="s">
        <v>173</v>
      </c>
      <c r="C57" s="1" t="str">
        <f aca="false">A57&amp;B57</f>
        <v>2000601300</v>
      </c>
      <c r="D57" s="13" t="n">
        <v>3302737.26</v>
      </c>
    </row>
    <row r="58" customFormat="false" ht="15.75" hidden="false" customHeight="true" outlineLevel="0" collapsed="false">
      <c r="A58" s="2" t="s">
        <v>7</v>
      </c>
      <c r="B58" s="2" t="s">
        <v>8</v>
      </c>
      <c r="C58" s="1" t="str">
        <f aca="false">A58&amp;B58</f>
        <v>2000602000</v>
      </c>
      <c r="D58" s="13" t="n">
        <v>918278.42</v>
      </c>
    </row>
    <row r="59" customFormat="false" ht="15.75" hidden="false" customHeight="true" outlineLevel="0" collapsed="false">
      <c r="A59" s="2" t="s">
        <v>7</v>
      </c>
      <c r="B59" s="2" t="s">
        <v>9</v>
      </c>
      <c r="C59" s="1" t="str">
        <f aca="false">A59&amp;B59</f>
        <v>2000602003</v>
      </c>
      <c r="D59" s="13" t="n">
        <v>631.22</v>
      </c>
    </row>
    <row r="60" customFormat="false" ht="15.75" hidden="false" customHeight="true" outlineLevel="0" collapsed="false">
      <c r="A60" s="2" t="s">
        <v>7</v>
      </c>
      <c r="B60" s="2" t="s">
        <v>10</v>
      </c>
      <c r="C60" s="1" t="str">
        <f aca="false">A60&amp;B60</f>
        <v>2000602004</v>
      </c>
      <c r="D60" s="13" t="n">
        <v>2213.78</v>
      </c>
    </row>
    <row r="61" customFormat="false" ht="15.75" hidden="false" customHeight="true" outlineLevel="0" collapsed="false">
      <c r="A61" s="2" t="s">
        <v>7</v>
      </c>
      <c r="B61" s="2" t="s">
        <v>11</v>
      </c>
      <c r="C61" s="1" t="str">
        <f aca="false">A61&amp;B61</f>
        <v>2000602005</v>
      </c>
      <c r="D61" s="13" t="n">
        <v>2923.84</v>
      </c>
    </row>
    <row r="62" customFormat="false" ht="15.75" hidden="false" customHeight="true" outlineLevel="0" collapsed="false">
      <c r="A62" s="2" t="s">
        <v>7</v>
      </c>
      <c r="B62" s="2" t="s">
        <v>12</v>
      </c>
      <c r="C62" s="1" t="str">
        <f aca="false">A62&amp;B62</f>
        <v>2000602010</v>
      </c>
      <c r="D62" s="13" t="n">
        <v>105048.2</v>
      </c>
    </row>
    <row r="63" customFormat="false" ht="15.75" hidden="false" customHeight="true" outlineLevel="0" collapsed="false">
      <c r="A63" s="2" t="s">
        <v>7</v>
      </c>
      <c r="B63" s="2" t="s">
        <v>13</v>
      </c>
      <c r="C63" s="1" t="str">
        <f aca="false">A63&amp;B63</f>
        <v>2000602020</v>
      </c>
      <c r="D63" s="13" t="n">
        <v>22159.25</v>
      </c>
    </row>
    <row r="64" customFormat="false" ht="15.75" hidden="false" customHeight="true" outlineLevel="0" collapsed="false">
      <c r="A64" s="2" t="s">
        <v>7</v>
      </c>
      <c r="B64" s="2" t="s">
        <v>14</v>
      </c>
      <c r="C64" s="1" t="str">
        <f aca="false">A64&amp;B64</f>
        <v>2000602030</v>
      </c>
      <c r="D64" s="13" t="n">
        <v>34521.73</v>
      </c>
    </row>
    <row r="65" customFormat="false" ht="15.75" hidden="false" customHeight="true" outlineLevel="0" collapsed="false">
      <c r="A65" s="2" t="s">
        <v>7</v>
      </c>
      <c r="B65" s="2" t="s">
        <v>15</v>
      </c>
      <c r="C65" s="1" t="str">
        <f aca="false">A65&amp;B65</f>
        <v>2000602070</v>
      </c>
      <c r="D65" s="13" t="n">
        <v>187.5</v>
      </c>
    </row>
    <row r="66" customFormat="false" ht="15.75" hidden="false" customHeight="true" outlineLevel="0" collapsed="false">
      <c r="A66" s="2" t="s">
        <v>7</v>
      </c>
      <c r="B66" s="2" t="s">
        <v>16</v>
      </c>
      <c r="C66" s="1" t="str">
        <f aca="false">A66&amp;B66</f>
        <v>2000602072</v>
      </c>
      <c r="D66" s="13" t="n">
        <v>53794.86</v>
      </c>
    </row>
    <row r="67" customFormat="false" ht="15.75" hidden="false" customHeight="true" outlineLevel="0" collapsed="false">
      <c r="A67" s="2" t="s">
        <v>7</v>
      </c>
      <c r="B67" s="2" t="s">
        <v>17</v>
      </c>
      <c r="C67" s="1" t="str">
        <f aca="false">A67&amp;B67</f>
        <v>2000603000</v>
      </c>
      <c r="D67" s="13" t="n">
        <v>101680.73</v>
      </c>
    </row>
    <row r="68" customFormat="false" ht="15.75" hidden="false" customHeight="true" outlineLevel="0" collapsed="false">
      <c r="A68" s="2" t="s">
        <v>7</v>
      </c>
      <c r="B68" s="2" t="s">
        <v>22</v>
      </c>
      <c r="C68" s="1" t="str">
        <f aca="false">A68&amp;B68</f>
        <v>2000604010</v>
      </c>
      <c r="D68" s="13" t="n">
        <v>0</v>
      </c>
    </row>
    <row r="69" customFormat="false" ht="15.75" hidden="false" customHeight="true" outlineLevel="0" collapsed="false">
      <c r="A69" s="2" t="s">
        <v>7</v>
      </c>
      <c r="B69" s="2" t="s">
        <v>21</v>
      </c>
      <c r="C69" s="1" t="str">
        <f aca="false">A69&amp;B69</f>
        <v>2000604020</v>
      </c>
      <c r="D69" s="13" t="n">
        <v>0</v>
      </c>
    </row>
    <row r="70" customFormat="false" ht="15.75" hidden="false" customHeight="true" outlineLevel="0" collapsed="false">
      <c r="A70" s="2" t="s">
        <v>7</v>
      </c>
      <c r="B70" s="2" t="s">
        <v>33</v>
      </c>
      <c r="C70" s="1" t="str">
        <f aca="false">A70&amp;B70</f>
        <v>2000604031</v>
      </c>
      <c r="D70" s="13" t="n">
        <v>1463879.12</v>
      </c>
    </row>
    <row r="71" customFormat="false" ht="15.75" hidden="false" customHeight="true" outlineLevel="0" collapsed="false">
      <c r="A71" s="2" t="s">
        <v>7</v>
      </c>
      <c r="B71" s="2" t="s">
        <v>19</v>
      </c>
      <c r="C71" s="1" t="str">
        <f aca="false">A71&amp;B71</f>
        <v>2000604040</v>
      </c>
      <c r="D71" s="13" t="n">
        <v>428</v>
      </c>
    </row>
    <row r="72" customFormat="false" ht="15.75" hidden="false" customHeight="true" outlineLevel="0" collapsed="false">
      <c r="A72" s="2" t="s">
        <v>7</v>
      </c>
      <c r="B72" s="2" t="s">
        <v>174</v>
      </c>
      <c r="C72" s="1" t="str">
        <f aca="false">A72&amp;B72</f>
        <v>2000604900</v>
      </c>
      <c r="D72" s="13" t="n">
        <v>1752920.21</v>
      </c>
    </row>
    <row r="73" customFormat="false" ht="15.75" hidden="false" customHeight="true" outlineLevel="0" collapsed="false">
      <c r="A73" s="2" t="s">
        <v>7</v>
      </c>
      <c r="B73" s="2" t="s">
        <v>31</v>
      </c>
      <c r="C73" s="1" t="str">
        <f aca="false">A73&amp;B73</f>
        <v>2000607000</v>
      </c>
      <c r="D73" s="13" t="n">
        <v>136863.01</v>
      </c>
    </row>
    <row r="74" customFormat="false" ht="15.75" hidden="false" customHeight="true" outlineLevel="0" collapsed="false">
      <c r="A74" s="2" t="s">
        <v>7</v>
      </c>
      <c r="B74" s="2" t="s">
        <v>32</v>
      </c>
      <c r="C74" s="1" t="str">
        <f aca="false">A74&amp;B74</f>
        <v>2000607010</v>
      </c>
      <c r="D74" s="13" t="n">
        <v>441.47</v>
      </c>
    </row>
    <row r="75" customFormat="false" ht="15.75" hidden="false" customHeight="true" outlineLevel="0" collapsed="false">
      <c r="A75" s="2" t="s">
        <v>7</v>
      </c>
      <c r="B75" s="2" t="s">
        <v>23</v>
      </c>
      <c r="C75" s="1" t="str">
        <f aca="false">A75&amp;B75</f>
        <v>2000608020</v>
      </c>
      <c r="D75" s="13" t="n">
        <v>250</v>
      </c>
    </row>
    <row r="76" customFormat="false" ht="15.75" hidden="false" customHeight="true" outlineLevel="0" collapsed="false">
      <c r="A76" s="2" t="s">
        <v>7</v>
      </c>
      <c r="B76" s="2" t="s">
        <v>27</v>
      </c>
      <c r="C76" s="1" t="str">
        <f aca="false">A76&amp;B76</f>
        <v>2000609002</v>
      </c>
      <c r="D76" s="13" t="n">
        <v>4247.32</v>
      </c>
    </row>
    <row r="77" customFormat="false" ht="15.75" hidden="false" customHeight="true" outlineLevel="0" collapsed="false">
      <c r="A77" s="2" t="s">
        <v>7</v>
      </c>
      <c r="B77" s="2" t="s">
        <v>28</v>
      </c>
      <c r="C77" s="1" t="str">
        <f aca="false">A77&amp;B77</f>
        <v>2000609003</v>
      </c>
      <c r="D77" s="13" t="n">
        <v>32609.81</v>
      </c>
    </row>
    <row r="78" customFormat="false" ht="15.75" hidden="false" customHeight="true" outlineLevel="0" collapsed="false">
      <c r="A78" s="2" t="s">
        <v>7</v>
      </c>
      <c r="B78" s="2" t="s">
        <v>24</v>
      </c>
      <c r="C78" s="1" t="str">
        <f aca="false">A78&amp;B78</f>
        <v>2000609004</v>
      </c>
      <c r="D78" s="13" t="n">
        <v>49677.72</v>
      </c>
    </row>
    <row r="79" customFormat="false" ht="15.75" hidden="false" customHeight="true" outlineLevel="0" collapsed="false">
      <c r="A79" s="2" t="s">
        <v>7</v>
      </c>
      <c r="B79" s="2" t="s">
        <v>25</v>
      </c>
      <c r="C79" s="1" t="str">
        <f aca="false">A79&amp;B79</f>
        <v>2000609005</v>
      </c>
      <c r="D79" s="13" t="n">
        <v>6075.35</v>
      </c>
    </row>
    <row r="80" customFormat="false" ht="15.75" hidden="false" customHeight="true" outlineLevel="0" collapsed="false">
      <c r="A80" s="2" t="s">
        <v>7</v>
      </c>
      <c r="B80" s="2" t="s">
        <v>26</v>
      </c>
      <c r="C80" s="1" t="str">
        <f aca="false">A80&amp;B80</f>
        <v>2000609006</v>
      </c>
      <c r="D80" s="13" t="n">
        <v>1261.6</v>
      </c>
    </row>
    <row r="81" customFormat="false" ht="15.75" hidden="false" customHeight="true" outlineLevel="0" collapsed="false">
      <c r="A81" s="2" t="s">
        <v>7</v>
      </c>
      <c r="B81" s="2" t="s">
        <v>29</v>
      </c>
      <c r="C81" s="1" t="str">
        <f aca="false">A81&amp;B81</f>
        <v>2000609009</v>
      </c>
      <c r="D81" s="13" t="n">
        <v>-48.92</v>
      </c>
    </row>
    <row r="82" customFormat="false" ht="15.75" hidden="false" customHeight="true" outlineLevel="0" collapsed="false">
      <c r="A82" s="2" t="s">
        <v>7</v>
      </c>
      <c r="B82" s="2" t="s">
        <v>30</v>
      </c>
      <c r="C82" s="1" t="str">
        <f aca="false">A82&amp;B82</f>
        <v>2000609010</v>
      </c>
      <c r="D82" s="13" t="n">
        <v>902.1</v>
      </c>
    </row>
    <row r="83" customFormat="false" ht="15.75" hidden="false" customHeight="true" outlineLevel="0" collapsed="false">
      <c r="A83" s="2" t="s">
        <v>7</v>
      </c>
      <c r="B83" s="2" t="s">
        <v>175</v>
      </c>
      <c r="C83" s="1" t="str">
        <f aca="false">A83&amp;B83</f>
        <v>2000630000</v>
      </c>
      <c r="D83" s="13" t="n">
        <v>3762.61</v>
      </c>
    </row>
    <row r="84" customFormat="false" ht="15.75" hidden="false" customHeight="true" outlineLevel="0" collapsed="false">
      <c r="A84" s="2" t="s">
        <v>7</v>
      </c>
      <c r="B84" s="2" t="s">
        <v>176</v>
      </c>
      <c r="C84" s="1" t="str">
        <f aca="false">A84&amp;B84</f>
        <v>2000630001</v>
      </c>
      <c r="D84" s="13" t="n">
        <v>2941094.93</v>
      </c>
    </row>
    <row r="85" customFormat="false" ht="15.75" hidden="false" customHeight="true" outlineLevel="0" collapsed="false">
      <c r="A85" s="2" t="s">
        <v>7</v>
      </c>
      <c r="B85" s="2" t="s">
        <v>177</v>
      </c>
      <c r="C85" s="1" t="str">
        <f aca="false">A85&amp;B85</f>
        <v>2000630002</v>
      </c>
      <c r="D85" s="13" t="n">
        <v>19576.77</v>
      </c>
    </row>
    <row r="86" customFormat="false" ht="15.75" hidden="false" customHeight="true" outlineLevel="0" collapsed="false">
      <c r="A86" s="2" t="s">
        <v>7</v>
      </c>
      <c r="B86" s="2" t="s">
        <v>178</v>
      </c>
      <c r="C86" s="1" t="str">
        <f aca="false">A86&amp;B86</f>
        <v>2000630006</v>
      </c>
      <c r="D86" s="13" t="n">
        <v>4171.47</v>
      </c>
    </row>
    <row r="87" customFormat="false" ht="15.75" hidden="false" customHeight="true" outlineLevel="0" collapsed="false">
      <c r="A87" s="2" t="s">
        <v>7</v>
      </c>
      <c r="B87" s="2" t="s">
        <v>179</v>
      </c>
      <c r="C87" s="1" t="str">
        <f aca="false">A87&amp;B87</f>
        <v>2000640001</v>
      </c>
      <c r="D87" s="13" t="n">
        <v>574.44</v>
      </c>
    </row>
    <row r="88" customFormat="false" ht="15.75" hidden="false" customHeight="true" outlineLevel="0" collapsed="false">
      <c r="A88" s="2" t="s">
        <v>7</v>
      </c>
      <c r="B88" s="2" t="s">
        <v>180</v>
      </c>
      <c r="C88" s="1" t="str">
        <f aca="false">A88&amp;B88</f>
        <v>2000640100</v>
      </c>
      <c r="D88" s="13" t="n">
        <v>181809.52</v>
      </c>
    </row>
    <row r="89" customFormat="false" ht="15.75" hidden="false" customHeight="true" outlineLevel="0" collapsed="false">
      <c r="A89" s="2" t="s">
        <v>7</v>
      </c>
      <c r="B89" s="2" t="s">
        <v>181</v>
      </c>
      <c r="C89" s="1" t="str">
        <f aca="false">A89&amp;B89</f>
        <v>2000640900</v>
      </c>
      <c r="D89" s="13" t="n">
        <v>4216832</v>
      </c>
    </row>
    <row r="90" customFormat="false" ht="15.75" hidden="false" customHeight="true" outlineLevel="0" collapsed="false">
      <c r="A90" s="2" t="s">
        <v>7</v>
      </c>
      <c r="B90" s="2" t="s">
        <v>182</v>
      </c>
      <c r="C90" s="1" t="str">
        <f aca="false">A90&amp;B90</f>
        <v>2000690000</v>
      </c>
      <c r="D90" s="13" t="n">
        <v>5</v>
      </c>
    </row>
    <row r="91" customFormat="false" ht="15.75" hidden="false" customHeight="true" outlineLevel="0" collapsed="false">
      <c r="A91" s="2" t="s">
        <v>7</v>
      </c>
      <c r="B91" s="2" t="s">
        <v>20</v>
      </c>
      <c r="C91" s="1" t="str">
        <f aca="false">A91&amp;B91</f>
        <v>2000910001</v>
      </c>
      <c r="D91" s="13" t="n">
        <v>0</v>
      </c>
    </row>
    <row r="92" customFormat="false" ht="15.75" hidden="false" customHeight="true" outlineLevel="0" collapsed="false">
      <c r="A92" s="2" t="s">
        <v>7</v>
      </c>
      <c r="B92" s="2" t="s">
        <v>34</v>
      </c>
      <c r="C92" s="1" t="str">
        <f aca="false">A92&amp;B92</f>
        <v>2000910002</v>
      </c>
      <c r="D92" s="13" t="n">
        <v>0</v>
      </c>
    </row>
    <row r="93" customFormat="false" ht="15.75" hidden="false" customHeight="true" outlineLevel="0" collapsed="false">
      <c r="A93" s="2" t="s">
        <v>7</v>
      </c>
      <c r="B93" s="2" t="s">
        <v>18</v>
      </c>
      <c r="C93" s="1" t="str">
        <f aca="false">A93&amp;B93</f>
        <v>2000910003</v>
      </c>
      <c r="D93" s="13" t="n">
        <v>0</v>
      </c>
    </row>
    <row r="94" customFormat="false" ht="15.75" hidden="false" customHeight="true" outlineLevel="0" collapsed="false">
      <c r="A94" s="2" t="s">
        <v>7</v>
      </c>
      <c r="B94" s="2" t="s">
        <v>35</v>
      </c>
      <c r="C94" s="1" t="str">
        <f aca="false">A94&amp;B94</f>
        <v>2000910004</v>
      </c>
      <c r="D94" s="13" t="n">
        <v>0</v>
      </c>
    </row>
    <row r="95" customFormat="false" ht="15.75" hidden="false" customHeight="true" outlineLevel="0" collapsed="false">
      <c r="A95" s="2" t="s">
        <v>7</v>
      </c>
      <c r="B95" s="2" t="s">
        <v>183</v>
      </c>
      <c r="C95" s="1" t="str">
        <f aca="false">A95&amp;B95</f>
        <v>2000990000</v>
      </c>
      <c r="D95" s="13" t="n">
        <v>0</v>
      </c>
    </row>
    <row r="96" customFormat="false" ht="15.75" hidden="false" customHeight="true" outlineLevel="0" collapsed="false">
      <c r="A96" s="2" t="s">
        <v>7</v>
      </c>
      <c r="B96" s="2" t="s">
        <v>184</v>
      </c>
      <c r="C96" s="1" t="str">
        <f aca="false">A96&amp;B96</f>
        <v>2000990002</v>
      </c>
      <c r="D96" s="13" t="n">
        <v>0</v>
      </c>
    </row>
    <row r="97" customFormat="false" ht="15.75" hidden="false" customHeight="true" outlineLevel="0" collapsed="false">
      <c r="A97" s="2" t="s">
        <v>7</v>
      </c>
      <c r="B97" s="2" t="s">
        <v>185</v>
      </c>
      <c r="C97" s="1" t="str">
        <f aca="false">A97&amp;B97</f>
        <v>2000990003</v>
      </c>
      <c r="D97" s="13" t="n">
        <v>0</v>
      </c>
    </row>
    <row r="98" customFormat="false" ht="15.75" hidden="false" customHeight="true" outlineLevel="0" collapsed="false">
      <c r="A98" s="2" t="s">
        <v>36</v>
      </c>
      <c r="B98" s="2" t="s">
        <v>186</v>
      </c>
      <c r="C98" s="1" t="str">
        <f aca="false">A98&amp;B98</f>
        <v>2200100950</v>
      </c>
      <c r="D98" s="13" t="n">
        <v>0</v>
      </c>
    </row>
    <row r="99" customFormat="false" ht="15.75" hidden="false" customHeight="true" outlineLevel="0" collapsed="false">
      <c r="A99" s="2" t="s">
        <v>36</v>
      </c>
      <c r="B99" s="2" t="s">
        <v>187</v>
      </c>
      <c r="C99" s="1" t="str">
        <f aca="false">A99&amp;B99</f>
        <v>2200101291</v>
      </c>
      <c r="D99" s="13" t="n">
        <v>-1250000</v>
      </c>
    </row>
    <row r="100" customFormat="false" ht="15.75" hidden="false" customHeight="true" outlineLevel="0" collapsed="false">
      <c r="A100" s="2" t="s">
        <v>36</v>
      </c>
      <c r="B100" s="2" t="s">
        <v>137</v>
      </c>
      <c r="C100" s="1" t="str">
        <f aca="false">A100&amp;B100</f>
        <v>2200160200</v>
      </c>
      <c r="D100" s="13" t="n">
        <v>11494444</v>
      </c>
    </row>
    <row r="101" customFormat="false" ht="15.75" hidden="false" customHeight="true" outlineLevel="0" collapsed="false">
      <c r="A101" s="2" t="s">
        <v>36</v>
      </c>
      <c r="B101" s="2" t="s">
        <v>139</v>
      </c>
      <c r="C101" s="1" t="str">
        <f aca="false">A101&amp;B101</f>
        <v>2200160250</v>
      </c>
      <c r="D101" s="13" t="n">
        <v>-1047754.71</v>
      </c>
    </row>
    <row r="102" customFormat="false" ht="15.75" hidden="false" customHeight="true" outlineLevel="0" collapsed="false">
      <c r="A102" s="2" t="s">
        <v>36</v>
      </c>
      <c r="B102" s="2" t="s">
        <v>188</v>
      </c>
      <c r="C102" s="1" t="str">
        <f aca="false">A102&amp;B102</f>
        <v>2200191000</v>
      </c>
      <c r="D102" s="13" t="n">
        <v>1460415481.32</v>
      </c>
    </row>
    <row r="103" customFormat="false" ht="15.75" hidden="false" customHeight="true" outlineLevel="0" collapsed="false">
      <c r="A103" s="2" t="s">
        <v>36</v>
      </c>
      <c r="B103" s="2" t="s">
        <v>145</v>
      </c>
      <c r="C103" s="1" t="str">
        <f aca="false">A103&amp;B103</f>
        <v>2200193000</v>
      </c>
      <c r="D103" s="13" t="n">
        <v>48104081.78</v>
      </c>
    </row>
    <row r="104" customFormat="false" ht="15.75" hidden="false" customHeight="true" outlineLevel="0" collapsed="false">
      <c r="A104" s="2" t="s">
        <v>36</v>
      </c>
      <c r="B104" s="2" t="s">
        <v>148</v>
      </c>
      <c r="C104" s="1" t="str">
        <f aca="false">A104&amp;B104</f>
        <v>2200200098</v>
      </c>
      <c r="D104" s="13" t="n">
        <v>0</v>
      </c>
    </row>
    <row r="105" customFormat="false" ht="15.75" hidden="false" customHeight="true" outlineLevel="0" collapsed="false">
      <c r="A105" s="2" t="s">
        <v>36</v>
      </c>
      <c r="B105" s="2" t="s">
        <v>189</v>
      </c>
      <c r="C105" s="1" t="str">
        <f aca="false">A105&amp;B105</f>
        <v>2200203000</v>
      </c>
      <c r="D105" s="13" t="n">
        <v>-30382509.45</v>
      </c>
    </row>
    <row r="106" customFormat="false" ht="15.75" hidden="false" customHeight="true" outlineLevel="0" collapsed="false">
      <c r="A106" s="2" t="s">
        <v>36</v>
      </c>
      <c r="B106" s="2" t="s">
        <v>190</v>
      </c>
      <c r="C106" s="1" t="str">
        <f aca="false">A106&amp;B106</f>
        <v>2200203001</v>
      </c>
      <c r="D106" s="13" t="n">
        <v>-4120302.76</v>
      </c>
    </row>
    <row r="107" customFormat="false" ht="15.75" hidden="false" customHeight="true" outlineLevel="0" collapsed="false">
      <c r="A107" s="2" t="s">
        <v>36</v>
      </c>
      <c r="B107" s="2" t="s">
        <v>191</v>
      </c>
      <c r="C107" s="1" t="str">
        <f aca="false">A107&amp;B107</f>
        <v>2200203002</v>
      </c>
      <c r="D107" s="13" t="n">
        <v>0</v>
      </c>
    </row>
    <row r="108" customFormat="false" ht="15.75" hidden="false" customHeight="true" outlineLevel="0" collapsed="false">
      <c r="A108" s="2" t="s">
        <v>36</v>
      </c>
      <c r="B108" s="2" t="s">
        <v>192</v>
      </c>
      <c r="C108" s="1" t="str">
        <f aca="false">A108&amp;B108</f>
        <v>2200240000</v>
      </c>
      <c r="D108" s="13" t="n">
        <v>-44010392.36</v>
      </c>
    </row>
    <row r="109" customFormat="false" ht="15.75" hidden="false" customHeight="true" outlineLevel="0" collapsed="false">
      <c r="A109" s="2" t="s">
        <v>36</v>
      </c>
      <c r="B109" s="2" t="s">
        <v>123</v>
      </c>
      <c r="C109" s="1" t="str">
        <f aca="false">A109&amp;B109</f>
        <v>2200243000</v>
      </c>
      <c r="D109" s="13" t="n">
        <v>-1224823979.19</v>
      </c>
    </row>
    <row r="110" customFormat="false" ht="15.75" hidden="false" customHeight="true" outlineLevel="0" collapsed="false">
      <c r="A110" s="2" t="s">
        <v>36</v>
      </c>
      <c r="B110" s="2" t="s">
        <v>193</v>
      </c>
      <c r="C110" s="1" t="str">
        <f aca="false">A110&amp;B110</f>
        <v>2200243001</v>
      </c>
      <c r="D110" s="13" t="n">
        <v>-411830.08</v>
      </c>
    </row>
    <row r="111" customFormat="false" ht="15.75" hidden="false" customHeight="true" outlineLevel="0" collapsed="false">
      <c r="A111" s="2" t="s">
        <v>36</v>
      </c>
      <c r="B111" s="2" t="s">
        <v>124</v>
      </c>
      <c r="C111" s="1" t="str">
        <f aca="false">A111&amp;B111</f>
        <v>2200243003</v>
      </c>
      <c r="D111" s="13" t="n">
        <v>2857112152.38</v>
      </c>
    </row>
    <row r="112" customFormat="false" ht="15.75" hidden="false" customHeight="true" outlineLevel="0" collapsed="false">
      <c r="A112" s="2" t="s">
        <v>36</v>
      </c>
      <c r="B112" s="2" t="s">
        <v>194</v>
      </c>
      <c r="C112" s="1" t="str">
        <f aca="false">A112&amp;B112</f>
        <v>2200243004</v>
      </c>
      <c r="D112" s="13" t="n">
        <v>383910709.17</v>
      </c>
    </row>
    <row r="113" customFormat="false" ht="15.75" hidden="false" customHeight="true" outlineLevel="0" collapsed="false">
      <c r="A113" s="2" t="s">
        <v>36</v>
      </c>
      <c r="B113" s="2" t="s">
        <v>125</v>
      </c>
      <c r="C113" s="1" t="str">
        <f aca="false">A113&amp;B113</f>
        <v>2200243005</v>
      </c>
      <c r="D113" s="13" t="n">
        <v>495602038.91</v>
      </c>
    </row>
    <row r="114" customFormat="false" ht="15.75" hidden="false" customHeight="true" outlineLevel="0" collapsed="false">
      <c r="A114" s="2" t="s">
        <v>36</v>
      </c>
      <c r="B114" s="2" t="s">
        <v>195</v>
      </c>
      <c r="C114" s="1" t="str">
        <f aca="false">A114&amp;B114</f>
        <v>2200260002</v>
      </c>
      <c r="D114" s="13" t="n">
        <v>-1450000000</v>
      </c>
    </row>
    <row r="115" customFormat="false" ht="15.75" hidden="false" customHeight="true" outlineLevel="0" collapsed="false">
      <c r="A115" s="2" t="s">
        <v>36</v>
      </c>
      <c r="B115" s="2" t="s">
        <v>165</v>
      </c>
      <c r="C115" s="1" t="str">
        <f aca="false">A115&amp;B115</f>
        <v>2200280000</v>
      </c>
      <c r="D115" s="13" t="n">
        <v>-62471645</v>
      </c>
    </row>
    <row r="116" customFormat="false" ht="15.75" hidden="false" customHeight="true" outlineLevel="0" collapsed="false">
      <c r="A116" s="2" t="s">
        <v>36</v>
      </c>
      <c r="B116" s="2" t="s">
        <v>196</v>
      </c>
      <c r="C116" s="1" t="str">
        <f aca="false">A116&amp;B116</f>
        <v>2200300000</v>
      </c>
      <c r="D116" s="13" t="n">
        <v>-1051815003</v>
      </c>
    </row>
    <row r="117" customFormat="false" ht="15.75" hidden="false" customHeight="true" outlineLevel="0" collapsed="false">
      <c r="A117" s="2" t="s">
        <v>36</v>
      </c>
      <c r="B117" s="2" t="s">
        <v>197</v>
      </c>
      <c r="C117" s="1" t="str">
        <f aca="false">A117&amp;B117</f>
        <v>2200300001</v>
      </c>
      <c r="D117" s="13" t="n">
        <v>-533676000</v>
      </c>
    </row>
    <row r="118" customFormat="false" ht="15.75" hidden="false" customHeight="true" outlineLevel="0" collapsed="false">
      <c r="A118" s="2" t="s">
        <v>36</v>
      </c>
      <c r="B118" s="2" t="s">
        <v>198</v>
      </c>
      <c r="C118" s="1" t="str">
        <f aca="false">A118&amp;B118</f>
        <v>2200310002</v>
      </c>
      <c r="D118" s="13" t="n">
        <v>48947441</v>
      </c>
    </row>
    <row r="119" customFormat="false" ht="15.75" hidden="false" customHeight="true" outlineLevel="0" collapsed="false">
      <c r="A119" s="2" t="s">
        <v>36</v>
      </c>
      <c r="B119" s="2" t="s">
        <v>199</v>
      </c>
      <c r="C119" s="1" t="str">
        <f aca="false">A119&amp;B119</f>
        <v>2200311003</v>
      </c>
      <c r="D119" s="13" t="n">
        <v>363</v>
      </c>
    </row>
    <row r="120" customFormat="false" ht="15.75" hidden="false" customHeight="true" outlineLevel="0" collapsed="false">
      <c r="A120" s="2" t="s">
        <v>36</v>
      </c>
      <c r="B120" s="2" t="s">
        <v>127</v>
      </c>
      <c r="C120" s="1" t="str">
        <f aca="false">A120&amp;B120</f>
        <v>2200320000</v>
      </c>
      <c r="D120" s="13" t="n">
        <v>-1060407159.16</v>
      </c>
    </row>
    <row r="121" customFormat="false" ht="15.75" hidden="false" customHeight="true" outlineLevel="0" collapsed="false">
      <c r="A121" s="2" t="s">
        <v>36</v>
      </c>
      <c r="B121" s="2" t="s">
        <v>200</v>
      </c>
      <c r="C121" s="1" t="str">
        <f aca="false">A121&amp;B121</f>
        <v>2200320002</v>
      </c>
      <c r="D121" s="13" t="n">
        <v>-786900</v>
      </c>
    </row>
    <row r="122" customFormat="false" ht="15.75" hidden="false" customHeight="true" outlineLevel="0" collapsed="false">
      <c r="A122" s="2" t="s">
        <v>36</v>
      </c>
      <c r="B122" s="2" t="s">
        <v>201</v>
      </c>
      <c r="C122" s="1" t="str">
        <f aca="false">A122&amp;B122</f>
        <v>2200321000</v>
      </c>
      <c r="D122" s="13" t="n">
        <v>95652672.33</v>
      </c>
    </row>
    <row r="123" customFormat="false" ht="15.75" hidden="false" customHeight="true" outlineLevel="0" collapsed="false">
      <c r="A123" s="2" t="s">
        <v>36</v>
      </c>
      <c r="B123" s="2" t="s">
        <v>202</v>
      </c>
      <c r="C123" s="1" t="str">
        <f aca="false">A123&amp;B123</f>
        <v>2200511900</v>
      </c>
      <c r="D123" s="13" t="n">
        <v>-49340762.86</v>
      </c>
    </row>
    <row r="124" customFormat="false" ht="15.75" hidden="false" customHeight="true" outlineLevel="0" collapsed="false">
      <c r="A124" s="2" t="s">
        <v>36</v>
      </c>
      <c r="B124" s="2" t="s">
        <v>203</v>
      </c>
      <c r="C124" s="1" t="str">
        <f aca="false">A124&amp;B124</f>
        <v>2200514900</v>
      </c>
      <c r="D124" s="13" t="n">
        <v>-99</v>
      </c>
    </row>
    <row r="125" customFormat="false" ht="15.75" hidden="false" customHeight="true" outlineLevel="0" collapsed="false">
      <c r="A125" s="2" t="s">
        <v>36</v>
      </c>
      <c r="B125" s="2" t="s">
        <v>37</v>
      </c>
      <c r="C125" s="1" t="str">
        <f aca="false">A125&amp;B125</f>
        <v>2200609008</v>
      </c>
      <c r="D125" s="13" t="n">
        <v>52.59</v>
      </c>
    </row>
    <row r="126" customFormat="false" ht="15.75" hidden="false" customHeight="true" outlineLevel="0" collapsed="false">
      <c r="A126" s="2" t="s">
        <v>36</v>
      </c>
      <c r="B126" s="2" t="s">
        <v>176</v>
      </c>
      <c r="C126" s="1" t="str">
        <f aca="false">A126&amp;B126</f>
        <v>2200630001</v>
      </c>
      <c r="D126" s="13" t="n">
        <v>507524.04</v>
      </c>
    </row>
    <row r="127" customFormat="false" ht="15.75" hidden="false" customHeight="true" outlineLevel="0" collapsed="false">
      <c r="A127" s="2" t="s">
        <v>36</v>
      </c>
      <c r="B127" s="2" t="s">
        <v>204</v>
      </c>
      <c r="C127" s="1" t="str">
        <f aca="false">A127&amp;B127</f>
        <v>2200640300</v>
      </c>
      <c r="D127" s="13" t="n">
        <v>49340762.87</v>
      </c>
    </row>
    <row r="128" customFormat="false" ht="15.75" hidden="false" customHeight="true" outlineLevel="0" collapsed="false">
      <c r="A128" s="2" t="s">
        <v>36</v>
      </c>
      <c r="B128" s="2" t="s">
        <v>181</v>
      </c>
      <c r="C128" s="1" t="str">
        <f aca="false">A128&amp;B128</f>
        <v>2200640900</v>
      </c>
      <c r="D128" s="13" t="n">
        <v>163051.18</v>
      </c>
    </row>
    <row r="129" customFormat="false" ht="15.75" hidden="false" customHeight="true" outlineLevel="0" collapsed="false">
      <c r="A129" s="2" t="s">
        <v>36</v>
      </c>
      <c r="B129" s="2" t="s">
        <v>182</v>
      </c>
      <c r="C129" s="1" t="str">
        <f aca="false">A129&amp;B129</f>
        <v>2200690000</v>
      </c>
      <c r="D129" s="13" t="n">
        <v>63293563</v>
      </c>
    </row>
    <row r="130" customFormat="false" ht="15.75" hidden="false" customHeight="true" outlineLevel="0" collapsed="false">
      <c r="A130" s="2" t="s">
        <v>36</v>
      </c>
      <c r="B130" s="2" t="s">
        <v>183</v>
      </c>
      <c r="C130" s="1" t="str">
        <f aca="false">A130&amp;B130</f>
        <v>2200990000</v>
      </c>
      <c r="D130" s="13" t="n">
        <v>0</v>
      </c>
    </row>
    <row r="131" customFormat="false" ht="15.75" hidden="false" customHeight="true" outlineLevel="0" collapsed="false">
      <c r="A131" s="2" t="s">
        <v>38</v>
      </c>
      <c r="B131" s="2" t="s">
        <v>186</v>
      </c>
      <c r="C131" s="1" t="str">
        <f aca="false">A131&amp;B131</f>
        <v>2500100950</v>
      </c>
      <c r="D131" s="13" t="n">
        <v>0</v>
      </c>
    </row>
    <row r="132" customFormat="false" ht="15.75" hidden="false" customHeight="true" outlineLevel="0" collapsed="false">
      <c r="A132" s="2" t="s">
        <v>38</v>
      </c>
      <c r="B132" s="2" t="s">
        <v>205</v>
      </c>
      <c r="C132" s="1" t="str">
        <f aca="false">A132&amp;B132</f>
        <v>2500101050</v>
      </c>
      <c r="D132" s="13" t="n">
        <v>6896.51</v>
      </c>
    </row>
    <row r="133" customFormat="false" ht="15.75" hidden="false" customHeight="true" outlineLevel="0" collapsed="false">
      <c r="A133" s="2" t="s">
        <v>38</v>
      </c>
      <c r="B133" s="2" t="s">
        <v>206</v>
      </c>
      <c r="C133" s="1" t="str">
        <f aca="false">A133&amp;B133</f>
        <v>2500101051</v>
      </c>
      <c r="D133" s="13" t="n">
        <v>0</v>
      </c>
    </row>
    <row r="134" customFormat="false" ht="15.75" hidden="false" customHeight="true" outlineLevel="0" collapsed="false">
      <c r="A134" s="2" t="s">
        <v>38</v>
      </c>
      <c r="B134" s="2" t="s">
        <v>207</v>
      </c>
      <c r="C134" s="1" t="str">
        <f aca="false">A134&amp;B134</f>
        <v>2500101110</v>
      </c>
      <c r="D134" s="13" t="n">
        <v>25774136.96</v>
      </c>
    </row>
    <row r="135" customFormat="false" ht="15.75" hidden="false" customHeight="true" outlineLevel="0" collapsed="false">
      <c r="A135" s="2" t="s">
        <v>38</v>
      </c>
      <c r="B135" s="2" t="s">
        <v>208</v>
      </c>
      <c r="C135" s="1" t="str">
        <f aca="false">A135&amp;B135</f>
        <v>2500101111</v>
      </c>
      <c r="D135" s="13" t="n">
        <v>754643.13</v>
      </c>
    </row>
    <row r="136" customFormat="false" ht="15.75" hidden="false" customHeight="true" outlineLevel="0" collapsed="false">
      <c r="A136" s="2" t="s">
        <v>38</v>
      </c>
      <c r="B136" s="2" t="s">
        <v>209</v>
      </c>
      <c r="C136" s="1" t="str">
        <f aca="false">A136&amp;B136</f>
        <v>2500101250</v>
      </c>
      <c r="D136" s="13" t="n">
        <v>1000</v>
      </c>
    </row>
    <row r="137" customFormat="false" ht="15.75" hidden="false" customHeight="true" outlineLevel="0" collapsed="false">
      <c r="A137" s="2" t="s">
        <v>38</v>
      </c>
      <c r="B137" s="2" t="s">
        <v>210</v>
      </c>
      <c r="C137" s="1" t="str">
        <f aca="false">A137&amp;B137</f>
        <v>2500105000</v>
      </c>
      <c r="D137" s="13" t="n">
        <v>240000000</v>
      </c>
    </row>
    <row r="138" customFormat="false" ht="15.75" hidden="false" customHeight="true" outlineLevel="0" collapsed="false">
      <c r="A138" s="2" t="s">
        <v>38</v>
      </c>
      <c r="B138" s="2" t="s">
        <v>211</v>
      </c>
      <c r="C138" s="1" t="str">
        <f aca="false">A138&amp;B138</f>
        <v>2500130200</v>
      </c>
      <c r="D138" s="13" t="n">
        <v>741596.92</v>
      </c>
    </row>
    <row r="139" customFormat="false" ht="15.75" hidden="false" customHeight="true" outlineLevel="0" collapsed="false">
      <c r="A139" s="2" t="s">
        <v>38</v>
      </c>
      <c r="B139" s="2" t="s">
        <v>133</v>
      </c>
      <c r="C139" s="1" t="str">
        <f aca="false">A139&amp;B139</f>
        <v>2500140002</v>
      </c>
      <c r="D139" s="13" t="n">
        <v>0</v>
      </c>
    </row>
    <row r="140" customFormat="false" ht="15.75" hidden="false" customHeight="true" outlineLevel="0" collapsed="false">
      <c r="A140" s="2" t="s">
        <v>38</v>
      </c>
      <c r="B140" s="2" t="s">
        <v>212</v>
      </c>
      <c r="C140" s="1" t="str">
        <f aca="false">A140&amp;B140</f>
        <v>2500140003</v>
      </c>
      <c r="D140" s="13" t="n">
        <v>683523</v>
      </c>
    </row>
    <row r="141" customFormat="false" ht="15.75" hidden="false" customHeight="true" outlineLevel="0" collapsed="false">
      <c r="A141" s="2" t="s">
        <v>38</v>
      </c>
      <c r="B141" s="2" t="s">
        <v>213</v>
      </c>
      <c r="C141" s="1" t="str">
        <f aca="false">A141&amp;B141</f>
        <v>2500141000</v>
      </c>
      <c r="D141" s="13" t="n">
        <v>1064945.68</v>
      </c>
    </row>
    <row r="142" customFormat="false" ht="15.75" hidden="false" customHeight="true" outlineLevel="0" collapsed="false">
      <c r="A142" s="2" t="s">
        <v>38</v>
      </c>
      <c r="B142" s="2" t="s">
        <v>214</v>
      </c>
      <c r="C142" s="1" t="str">
        <f aca="false">A142&amp;B142</f>
        <v>2500180200</v>
      </c>
      <c r="D142" s="13" t="n">
        <v>2796368.75</v>
      </c>
    </row>
    <row r="143" customFormat="false" ht="15.75" hidden="false" customHeight="true" outlineLevel="0" collapsed="false">
      <c r="A143" s="2" t="s">
        <v>38</v>
      </c>
      <c r="B143" s="2" t="s">
        <v>215</v>
      </c>
      <c r="C143" s="1" t="str">
        <f aca="false">A143&amp;B143</f>
        <v>2500192003</v>
      </c>
      <c r="D143" s="13" t="n">
        <v>368070.4</v>
      </c>
    </row>
    <row r="144" customFormat="false" ht="15.75" hidden="false" customHeight="true" outlineLevel="0" collapsed="false">
      <c r="A144" s="2" t="s">
        <v>38</v>
      </c>
      <c r="B144" s="2" t="s">
        <v>145</v>
      </c>
      <c r="C144" s="1" t="str">
        <f aca="false">A144&amp;B144</f>
        <v>2500193000</v>
      </c>
      <c r="D144" s="13" t="n">
        <v>0.52</v>
      </c>
    </row>
    <row r="145" customFormat="false" ht="15.75" hidden="false" customHeight="true" outlineLevel="0" collapsed="false">
      <c r="A145" s="2" t="s">
        <v>38</v>
      </c>
      <c r="B145" s="2" t="s">
        <v>148</v>
      </c>
      <c r="C145" s="1" t="str">
        <f aca="false">A145&amp;B145</f>
        <v>2500200098</v>
      </c>
      <c r="D145" s="13" t="n">
        <v>0</v>
      </c>
    </row>
    <row r="146" customFormat="false" ht="15.75" hidden="false" customHeight="true" outlineLevel="0" collapsed="false">
      <c r="A146" s="2" t="s">
        <v>38</v>
      </c>
      <c r="B146" s="2" t="s">
        <v>216</v>
      </c>
      <c r="C146" s="1" t="str">
        <f aca="false">A146&amp;B146</f>
        <v>2500202000</v>
      </c>
      <c r="D146" s="13" t="n">
        <v>0</v>
      </c>
    </row>
    <row r="147" customFormat="false" ht="15.75" hidden="false" customHeight="true" outlineLevel="0" collapsed="false">
      <c r="A147" s="2" t="s">
        <v>38</v>
      </c>
      <c r="B147" s="2" t="s">
        <v>217</v>
      </c>
      <c r="C147" s="1" t="str">
        <f aca="false">A147&amp;B147</f>
        <v>2500202001</v>
      </c>
      <c r="D147" s="13" t="n">
        <v>-566805.72</v>
      </c>
    </row>
    <row r="148" customFormat="false" ht="15.75" hidden="false" customHeight="true" outlineLevel="0" collapsed="false">
      <c r="A148" s="2" t="s">
        <v>38</v>
      </c>
      <c r="B148" s="2" t="s">
        <v>157</v>
      </c>
      <c r="C148" s="1" t="str">
        <f aca="false">A148&amp;B148</f>
        <v>2500204020</v>
      </c>
      <c r="D148" s="13" t="n">
        <v>0.25</v>
      </c>
    </row>
    <row r="149" customFormat="false" ht="15.75" hidden="false" customHeight="true" outlineLevel="0" collapsed="false">
      <c r="A149" s="2" t="s">
        <v>38</v>
      </c>
      <c r="B149" s="2" t="s">
        <v>218</v>
      </c>
      <c r="C149" s="1" t="str">
        <f aca="false">A149&amp;B149</f>
        <v>2500220000</v>
      </c>
      <c r="D149" s="13" t="n">
        <v>0</v>
      </c>
    </row>
    <row r="150" customFormat="false" ht="15.75" hidden="false" customHeight="true" outlineLevel="0" collapsed="false">
      <c r="A150" s="2" t="s">
        <v>38</v>
      </c>
      <c r="B150" s="2" t="s">
        <v>219</v>
      </c>
      <c r="C150" s="1" t="str">
        <f aca="false">A150&amp;B150</f>
        <v>2500230200</v>
      </c>
      <c r="D150" s="13" t="n">
        <v>0</v>
      </c>
    </row>
    <row r="151" customFormat="false" ht="15.75" hidden="false" customHeight="true" outlineLevel="0" collapsed="false">
      <c r="A151" s="2" t="s">
        <v>38</v>
      </c>
      <c r="B151" s="2" t="s">
        <v>123</v>
      </c>
      <c r="C151" s="1" t="str">
        <f aca="false">A151&amp;B151</f>
        <v>2500243000</v>
      </c>
      <c r="D151" s="13" t="n">
        <v>2000494693.46</v>
      </c>
    </row>
    <row r="152" customFormat="false" ht="15.75" hidden="false" customHeight="true" outlineLevel="0" collapsed="false">
      <c r="A152" s="2" t="s">
        <v>38</v>
      </c>
      <c r="B152" s="2" t="s">
        <v>124</v>
      </c>
      <c r="C152" s="1" t="str">
        <f aca="false">A152&amp;B152</f>
        <v>2500243003</v>
      </c>
      <c r="D152" s="13" t="n">
        <v>-3806196891.36</v>
      </c>
    </row>
    <row r="153" customFormat="false" ht="15.75" hidden="false" customHeight="true" outlineLevel="0" collapsed="false">
      <c r="A153" s="2" t="s">
        <v>38</v>
      </c>
      <c r="B153" s="2" t="s">
        <v>194</v>
      </c>
      <c r="C153" s="1" t="str">
        <f aca="false">A153&amp;B153</f>
        <v>2500243004</v>
      </c>
      <c r="D153" s="13" t="n">
        <v>1623206027.42</v>
      </c>
    </row>
    <row r="154" customFormat="false" ht="15.75" hidden="false" customHeight="true" outlineLevel="0" collapsed="false">
      <c r="A154" s="2" t="s">
        <v>38</v>
      </c>
      <c r="B154" s="2" t="s">
        <v>125</v>
      </c>
      <c r="C154" s="1" t="str">
        <f aca="false">A154&amp;B154</f>
        <v>2500243005</v>
      </c>
      <c r="D154" s="13" t="n">
        <v>-31832392</v>
      </c>
    </row>
    <row r="155" customFormat="false" ht="15.75" hidden="false" customHeight="true" outlineLevel="0" collapsed="false">
      <c r="A155" s="2" t="s">
        <v>38</v>
      </c>
      <c r="B155" s="2" t="s">
        <v>220</v>
      </c>
      <c r="C155" s="1" t="str">
        <f aca="false">A155&amp;B155</f>
        <v>2500260001</v>
      </c>
      <c r="D155" s="13" t="n">
        <v>0</v>
      </c>
    </row>
    <row r="156" customFormat="false" ht="15.75" hidden="false" customHeight="true" outlineLevel="0" collapsed="false">
      <c r="A156" s="2" t="s">
        <v>38</v>
      </c>
      <c r="B156" s="2" t="s">
        <v>221</v>
      </c>
      <c r="C156" s="1" t="str">
        <f aca="false">A156&amp;B156</f>
        <v>2500270200</v>
      </c>
      <c r="D156" s="13" t="n">
        <v>0</v>
      </c>
    </row>
    <row r="157" customFormat="false" ht="15.75" hidden="false" customHeight="true" outlineLevel="0" collapsed="false">
      <c r="A157" s="2" t="s">
        <v>38</v>
      </c>
      <c r="B157" s="2" t="s">
        <v>165</v>
      </c>
      <c r="C157" s="1" t="str">
        <f aca="false">A157&amp;B157</f>
        <v>2500280000</v>
      </c>
      <c r="D157" s="13" t="n">
        <v>-217198</v>
      </c>
    </row>
    <row r="158" customFormat="false" ht="15.75" hidden="false" customHeight="true" outlineLevel="0" collapsed="false">
      <c r="A158" s="2" t="s">
        <v>38</v>
      </c>
      <c r="B158" s="2" t="s">
        <v>196</v>
      </c>
      <c r="C158" s="1" t="str">
        <f aca="false">A158&amp;B158</f>
        <v>2500300000</v>
      </c>
      <c r="D158" s="13" t="n">
        <v>-2</v>
      </c>
    </row>
    <row r="159" customFormat="false" ht="15.75" hidden="false" customHeight="true" outlineLevel="0" collapsed="false">
      <c r="A159" s="2" t="s">
        <v>38</v>
      </c>
      <c r="B159" s="2" t="s">
        <v>222</v>
      </c>
      <c r="C159" s="1" t="str">
        <f aca="false">A159&amp;B159</f>
        <v>2500310001</v>
      </c>
      <c r="D159" s="13" t="n">
        <v>-3537965.67</v>
      </c>
    </row>
    <row r="160" customFormat="false" ht="15.75" hidden="false" customHeight="true" outlineLevel="0" collapsed="false">
      <c r="A160" s="2" t="s">
        <v>38</v>
      </c>
      <c r="B160" s="2" t="s">
        <v>198</v>
      </c>
      <c r="C160" s="1" t="str">
        <f aca="false">A160&amp;B160</f>
        <v>2500310002</v>
      </c>
      <c r="D160" s="13" t="n">
        <v>217194.48</v>
      </c>
    </row>
    <row r="161" customFormat="false" ht="15.75" hidden="false" customHeight="true" outlineLevel="0" collapsed="false">
      <c r="A161" s="2" t="s">
        <v>38</v>
      </c>
      <c r="B161" s="2" t="s">
        <v>127</v>
      </c>
      <c r="C161" s="1" t="str">
        <f aca="false">A161&amp;B161</f>
        <v>2500320000</v>
      </c>
      <c r="D161" s="13" t="n">
        <v>-53757842.73</v>
      </c>
    </row>
    <row r="162" customFormat="false" ht="15.75" hidden="false" customHeight="true" outlineLevel="0" collapsed="false">
      <c r="A162" s="2" t="s">
        <v>38</v>
      </c>
      <c r="B162" s="2" t="s">
        <v>223</v>
      </c>
      <c r="C162" s="1" t="str">
        <f aca="false">A162&amp;B162</f>
        <v>2500511000</v>
      </c>
      <c r="D162" s="13" t="n">
        <v>-7073936.76</v>
      </c>
    </row>
    <row r="163" customFormat="false" ht="15.75" hidden="false" customHeight="true" outlineLevel="0" collapsed="false">
      <c r="A163" s="2" t="s">
        <v>38</v>
      </c>
      <c r="B163" s="2" t="s">
        <v>202</v>
      </c>
      <c r="C163" s="1" t="str">
        <f aca="false">A163&amp;B163</f>
        <v>2500511900</v>
      </c>
      <c r="D163" s="13" t="n">
        <v>3879817.38</v>
      </c>
    </row>
    <row r="164" customFormat="false" ht="15.75" hidden="false" customHeight="true" outlineLevel="0" collapsed="false">
      <c r="A164" s="2" t="s">
        <v>38</v>
      </c>
      <c r="B164" s="2" t="s">
        <v>27</v>
      </c>
      <c r="C164" s="1" t="str">
        <f aca="false">A164&amp;B164</f>
        <v>2500609002</v>
      </c>
      <c r="D164" s="13" t="n">
        <v>0</v>
      </c>
    </row>
    <row r="165" customFormat="false" ht="15.75" hidden="false" customHeight="true" outlineLevel="0" collapsed="false">
      <c r="A165" s="2" t="s">
        <v>38</v>
      </c>
      <c r="B165" s="2" t="s">
        <v>37</v>
      </c>
      <c r="C165" s="1" t="str">
        <f aca="false">A165&amp;B165</f>
        <v>2500609008</v>
      </c>
      <c r="D165" s="13" t="n">
        <v>90995.66</v>
      </c>
    </row>
    <row r="166" customFormat="false" ht="15.75" hidden="false" customHeight="true" outlineLevel="0" collapsed="false">
      <c r="A166" s="2" t="s">
        <v>38</v>
      </c>
      <c r="B166" s="2" t="s">
        <v>39</v>
      </c>
      <c r="C166" s="1" t="str">
        <f aca="false">A166&amp;B166</f>
        <v>2500609012</v>
      </c>
      <c r="D166" s="13" t="n">
        <v>16993.1</v>
      </c>
    </row>
    <row r="167" customFormat="false" ht="15.75" hidden="false" customHeight="true" outlineLevel="0" collapsed="false">
      <c r="A167" s="2" t="s">
        <v>38</v>
      </c>
      <c r="B167" s="2" t="s">
        <v>224</v>
      </c>
      <c r="C167" s="1" t="str">
        <f aca="false">A167&amp;B167</f>
        <v>2500640000</v>
      </c>
      <c r="D167" s="13" t="n">
        <v>606745.29</v>
      </c>
    </row>
    <row r="168" customFormat="false" ht="15.75" hidden="false" customHeight="true" outlineLevel="0" collapsed="false">
      <c r="A168" s="2" t="s">
        <v>38</v>
      </c>
      <c r="B168" s="2" t="s">
        <v>225</v>
      </c>
      <c r="C168" s="1" t="str">
        <f aca="false">A168&amp;B168</f>
        <v>2500640200</v>
      </c>
      <c r="D168" s="13" t="n">
        <v>9684.93</v>
      </c>
    </row>
    <row r="169" customFormat="false" ht="15.75" hidden="false" customHeight="true" outlineLevel="0" collapsed="false">
      <c r="A169" s="2" t="s">
        <v>38</v>
      </c>
      <c r="B169" s="2" t="s">
        <v>226</v>
      </c>
      <c r="C169" s="1" t="str">
        <f aca="false">A169&amp;B169</f>
        <v>2500640210</v>
      </c>
      <c r="D169" s="13" t="n">
        <v>2469700.4</v>
      </c>
    </row>
    <row r="170" customFormat="false" ht="15.75" hidden="false" customHeight="true" outlineLevel="0" collapsed="false">
      <c r="A170" s="2" t="s">
        <v>38</v>
      </c>
      <c r="B170" s="2" t="s">
        <v>183</v>
      </c>
      <c r="C170" s="1" t="str">
        <f aca="false">A170&amp;B170</f>
        <v>2500990000</v>
      </c>
      <c r="D170" s="13" t="n">
        <v>0</v>
      </c>
    </row>
    <row r="171" customFormat="false" ht="15.75" hidden="false" customHeight="true" outlineLevel="0" collapsed="false">
      <c r="A171" s="2" t="s">
        <v>38</v>
      </c>
      <c r="B171" s="2" t="s">
        <v>227</v>
      </c>
      <c r="C171" s="1" t="str">
        <f aca="false">A171&amp;B171</f>
        <v>2500990099</v>
      </c>
      <c r="D171" s="13" t="n">
        <v>0</v>
      </c>
    </row>
    <row r="172" customFormat="false" ht="15.75" hidden="false" customHeight="true" outlineLevel="0" collapsed="false">
      <c r="A172" s="2" t="s">
        <v>228</v>
      </c>
      <c r="B172" s="2" t="s">
        <v>229</v>
      </c>
      <c r="C172" s="1" t="str">
        <f aca="false">A172&amp;B172</f>
        <v>2600190000</v>
      </c>
      <c r="D172" s="13" t="n">
        <v>6200000</v>
      </c>
    </row>
    <row r="173" customFormat="false" ht="15.75" hidden="false" customHeight="true" outlineLevel="0" collapsed="false">
      <c r="A173" s="2" t="s">
        <v>228</v>
      </c>
      <c r="B173" s="2" t="s">
        <v>188</v>
      </c>
      <c r="C173" s="1" t="str">
        <f aca="false">A173&amp;B173</f>
        <v>2600191000</v>
      </c>
      <c r="D173" s="13" t="n">
        <v>4253848292.63</v>
      </c>
    </row>
    <row r="174" customFormat="false" ht="15.75" hidden="false" customHeight="true" outlineLevel="0" collapsed="false">
      <c r="A174" s="2" t="s">
        <v>228</v>
      </c>
      <c r="B174" s="2" t="s">
        <v>230</v>
      </c>
      <c r="C174" s="1" t="str">
        <f aca="false">A174&amp;B174</f>
        <v>2600210300</v>
      </c>
      <c r="D174" s="13" t="n">
        <v>-600000</v>
      </c>
    </row>
    <row r="175" customFormat="false" ht="15.75" hidden="false" customHeight="true" outlineLevel="0" collapsed="false">
      <c r="A175" s="2" t="s">
        <v>228</v>
      </c>
      <c r="B175" s="2" t="s">
        <v>123</v>
      </c>
      <c r="C175" s="1" t="str">
        <f aca="false">A175&amp;B175</f>
        <v>2600243000</v>
      </c>
      <c r="D175" s="13" t="n">
        <v>-1491855170.94</v>
      </c>
    </row>
    <row r="176" customFormat="false" ht="15.75" hidden="false" customHeight="true" outlineLevel="0" collapsed="false">
      <c r="A176" s="2" t="s">
        <v>228</v>
      </c>
      <c r="B176" s="2" t="s">
        <v>124</v>
      </c>
      <c r="C176" s="1" t="str">
        <f aca="false">A176&amp;B176</f>
        <v>2600243003</v>
      </c>
      <c r="D176" s="13" t="n">
        <v>-724357564.1</v>
      </c>
    </row>
    <row r="177" customFormat="false" ht="15.75" hidden="false" customHeight="true" outlineLevel="0" collapsed="false">
      <c r="A177" s="2" t="s">
        <v>228</v>
      </c>
      <c r="B177" s="2" t="s">
        <v>194</v>
      </c>
      <c r="C177" s="1" t="str">
        <f aca="false">A177&amp;B177</f>
        <v>2600243004</v>
      </c>
      <c r="D177" s="13" t="n">
        <v>-1986116736.59</v>
      </c>
    </row>
    <row r="178" customFormat="false" ht="15.75" hidden="false" customHeight="true" outlineLevel="0" collapsed="false">
      <c r="A178" s="2" t="s">
        <v>228</v>
      </c>
      <c r="B178" s="2" t="s">
        <v>125</v>
      </c>
      <c r="C178" s="1" t="str">
        <f aca="false">A178&amp;B178</f>
        <v>2600243005</v>
      </c>
      <c r="D178" s="13" t="n">
        <v>4216644</v>
      </c>
    </row>
    <row r="179" customFormat="false" ht="15.75" hidden="false" customHeight="true" outlineLevel="0" collapsed="false">
      <c r="A179" s="2" t="s">
        <v>228</v>
      </c>
      <c r="B179" s="2" t="s">
        <v>231</v>
      </c>
      <c r="C179" s="1" t="str">
        <f aca="false">A179&amp;B179</f>
        <v>2600250200</v>
      </c>
      <c r="D179" s="13" t="n">
        <v>-1400000</v>
      </c>
    </row>
    <row r="180" customFormat="false" ht="15.75" hidden="false" customHeight="true" outlineLevel="0" collapsed="false">
      <c r="A180" s="2" t="s">
        <v>228</v>
      </c>
      <c r="B180" s="2" t="s">
        <v>165</v>
      </c>
      <c r="C180" s="1" t="str">
        <f aca="false">A180&amp;B180</f>
        <v>2600280000</v>
      </c>
      <c r="D180" s="13" t="n">
        <v>-1</v>
      </c>
    </row>
    <row r="181" customFormat="false" ht="15.75" hidden="false" customHeight="true" outlineLevel="0" collapsed="false">
      <c r="A181" s="2" t="s">
        <v>228</v>
      </c>
      <c r="B181" s="2" t="s">
        <v>196</v>
      </c>
      <c r="C181" s="1" t="str">
        <f aca="false">A181&amp;B181</f>
        <v>2600300000</v>
      </c>
      <c r="D181" s="13" t="n">
        <v>-2</v>
      </c>
    </row>
    <row r="182" customFormat="false" ht="15.75" hidden="false" customHeight="true" outlineLevel="0" collapsed="false">
      <c r="A182" s="2" t="s">
        <v>228</v>
      </c>
      <c r="B182" s="2" t="s">
        <v>126</v>
      </c>
      <c r="C182" s="1" t="str">
        <f aca="false">A182&amp;B182</f>
        <v>2600300002</v>
      </c>
      <c r="D182" s="13" t="n">
        <v>-2</v>
      </c>
    </row>
    <row r="183" customFormat="false" ht="15.75" hidden="false" customHeight="true" outlineLevel="0" collapsed="false">
      <c r="A183" s="2" t="s">
        <v>228</v>
      </c>
      <c r="B183" s="2" t="s">
        <v>127</v>
      </c>
      <c r="C183" s="1" t="str">
        <f aca="false">A183&amp;B183</f>
        <v>2600320000</v>
      </c>
      <c r="D183" s="13" t="n">
        <v>-1059935559.01</v>
      </c>
    </row>
    <row r="184" customFormat="false" ht="15.75" hidden="false" customHeight="true" outlineLevel="0" collapsed="false">
      <c r="A184" s="2" t="s">
        <v>228</v>
      </c>
      <c r="B184" s="2" t="s">
        <v>232</v>
      </c>
      <c r="C184" s="1" t="str">
        <f aca="false">A184&amp;B184</f>
        <v>2600321001</v>
      </c>
      <c r="D184" s="13" t="n">
        <v>1000000099</v>
      </c>
    </row>
    <row r="185" customFormat="false" ht="15.75" hidden="false" customHeight="true" outlineLevel="0" collapsed="false">
      <c r="A185" s="2" t="s">
        <v>228</v>
      </c>
      <c r="B185" s="2" t="s">
        <v>202</v>
      </c>
      <c r="C185" s="1" t="str">
        <f aca="false">A185&amp;B185</f>
        <v>2600511900</v>
      </c>
      <c r="D185" s="13" t="n">
        <v>-45297894.29</v>
      </c>
    </row>
    <row r="186" customFormat="false" ht="15.75" hidden="false" customHeight="true" outlineLevel="0" collapsed="false">
      <c r="A186" s="2" t="s">
        <v>228</v>
      </c>
      <c r="B186" s="2" t="s">
        <v>181</v>
      </c>
      <c r="C186" s="1" t="str">
        <f aca="false">A186&amp;B186</f>
        <v>2600640900</v>
      </c>
      <c r="D186" s="13" t="n">
        <v>45297894.3</v>
      </c>
    </row>
    <row r="187" customFormat="false" ht="15.75" hidden="false" customHeight="true" outlineLevel="0" collapsed="false">
      <c r="A187" s="2" t="s">
        <v>228</v>
      </c>
      <c r="B187" s="2" t="s">
        <v>233</v>
      </c>
      <c r="C187" s="1" t="str">
        <f aca="false">A187&amp;B187</f>
        <v>2600800002</v>
      </c>
      <c r="D187" s="13" t="n">
        <v>0</v>
      </c>
    </row>
    <row r="188" customFormat="false" ht="15.75" hidden="false" customHeight="true" outlineLevel="0" collapsed="false">
      <c r="A188" s="2" t="s">
        <v>228</v>
      </c>
      <c r="B188" s="2" t="s">
        <v>234</v>
      </c>
      <c r="C188" s="1" t="str">
        <f aca="false">A188&amp;B188</f>
        <v>2600800003</v>
      </c>
      <c r="D188" s="13" t="n">
        <v>-9776700</v>
      </c>
    </row>
    <row r="189" customFormat="false" ht="15.75" hidden="false" customHeight="true" outlineLevel="0" collapsed="false">
      <c r="A189" s="2" t="s">
        <v>228</v>
      </c>
      <c r="B189" s="2" t="s">
        <v>235</v>
      </c>
      <c r="C189" s="1" t="str">
        <f aca="false">A189&amp;B189</f>
        <v>2600800006</v>
      </c>
      <c r="D189" s="13" t="n">
        <v>9776700</v>
      </c>
    </row>
    <row r="190" customFormat="false" ht="15.75" hidden="false" customHeight="true" outlineLevel="0" collapsed="false">
      <c r="A190" s="2" t="s">
        <v>228</v>
      </c>
      <c r="B190" s="2" t="s">
        <v>183</v>
      </c>
      <c r="C190" s="1" t="str">
        <f aca="false">A190&amp;B190</f>
        <v>2600990000</v>
      </c>
      <c r="D190" s="13" t="n">
        <v>0</v>
      </c>
    </row>
    <row r="191" customFormat="false" ht="15.75" hidden="false" customHeight="true" outlineLevel="0" collapsed="false">
      <c r="A191" s="2" t="s">
        <v>236</v>
      </c>
      <c r="B191" s="2" t="s">
        <v>188</v>
      </c>
      <c r="C191" s="1" t="str">
        <f aca="false">A191&amp;B191</f>
        <v>2700191000</v>
      </c>
      <c r="D191" s="13" t="n">
        <v>69400000</v>
      </c>
    </row>
    <row r="192" customFormat="false" ht="15.75" hidden="false" customHeight="true" outlineLevel="0" collapsed="false">
      <c r="A192" s="2" t="s">
        <v>236</v>
      </c>
      <c r="B192" s="2" t="s">
        <v>124</v>
      </c>
      <c r="C192" s="1" t="str">
        <f aca="false">A192&amp;B192</f>
        <v>2700243003</v>
      </c>
      <c r="D192" s="13" t="n">
        <v>-69399998</v>
      </c>
    </row>
    <row r="193" customFormat="false" ht="15.75" hidden="false" customHeight="true" outlineLevel="0" collapsed="false">
      <c r="A193" s="2" t="s">
        <v>236</v>
      </c>
      <c r="B193" s="2" t="s">
        <v>196</v>
      </c>
      <c r="C193" s="1" t="str">
        <f aca="false">A193&amp;B193</f>
        <v>2700300000</v>
      </c>
      <c r="D193" s="13" t="n">
        <v>-2</v>
      </c>
    </row>
    <row r="194" customFormat="false" ht="15.75" hidden="false" customHeight="true" outlineLevel="0" collapsed="false">
      <c r="A194" s="2" t="s">
        <v>237</v>
      </c>
      <c r="B194" s="2" t="s">
        <v>124</v>
      </c>
      <c r="C194" s="1" t="str">
        <f aca="false">A194&amp;B194</f>
        <v>2800243003</v>
      </c>
      <c r="D194" s="13" t="n">
        <v>530699193.39</v>
      </c>
    </row>
    <row r="195" customFormat="false" ht="15.75" hidden="false" customHeight="true" outlineLevel="0" collapsed="false">
      <c r="A195" s="2" t="s">
        <v>237</v>
      </c>
      <c r="B195" s="2" t="s">
        <v>194</v>
      </c>
      <c r="C195" s="1" t="str">
        <f aca="false">A195&amp;B195</f>
        <v>2800243004</v>
      </c>
      <c r="D195" s="13" t="n">
        <v>1822461545.16</v>
      </c>
    </row>
    <row r="196" customFormat="false" ht="15.75" hidden="false" customHeight="true" outlineLevel="0" collapsed="false">
      <c r="A196" s="2" t="s">
        <v>237</v>
      </c>
      <c r="B196" s="2" t="s">
        <v>125</v>
      </c>
      <c r="C196" s="1" t="str">
        <f aca="false">A196&amp;B196</f>
        <v>2800243005</v>
      </c>
      <c r="D196" s="13" t="n">
        <v>-359896480</v>
      </c>
    </row>
    <row r="197" customFormat="false" ht="15.75" hidden="false" customHeight="true" outlineLevel="0" collapsed="false">
      <c r="A197" s="2" t="s">
        <v>237</v>
      </c>
      <c r="B197" s="2" t="s">
        <v>196</v>
      </c>
      <c r="C197" s="1" t="str">
        <f aca="false">A197&amp;B197</f>
        <v>2800300000</v>
      </c>
      <c r="D197" s="13" t="n">
        <v>-874999992</v>
      </c>
    </row>
    <row r="198" customFormat="false" ht="15.75" hidden="false" customHeight="true" outlineLevel="0" collapsed="false">
      <c r="A198" s="2" t="s">
        <v>237</v>
      </c>
      <c r="B198" s="2" t="s">
        <v>126</v>
      </c>
      <c r="C198" s="1" t="str">
        <f aca="false">A198&amp;B198</f>
        <v>2800300002</v>
      </c>
      <c r="D198" s="13" t="n">
        <v>-916381328.6</v>
      </c>
    </row>
    <row r="199" customFormat="false" ht="15.75" hidden="false" customHeight="true" outlineLevel="0" collapsed="false">
      <c r="A199" s="2" t="s">
        <v>237</v>
      </c>
      <c r="B199" s="2" t="s">
        <v>127</v>
      </c>
      <c r="C199" s="1" t="str">
        <f aca="false">A199&amp;B199</f>
        <v>2800320000</v>
      </c>
      <c r="D199" s="13" t="n">
        <v>-123376867.37</v>
      </c>
    </row>
    <row r="200" customFormat="false" ht="15.75" hidden="false" customHeight="true" outlineLevel="0" collapsed="false">
      <c r="A200" s="2" t="s">
        <v>237</v>
      </c>
      <c r="B200" s="2" t="s">
        <v>202</v>
      </c>
      <c r="C200" s="1" t="str">
        <f aca="false">A200&amp;B200</f>
        <v>2800511900</v>
      </c>
      <c r="D200" s="13" t="n">
        <v>-78506070.58</v>
      </c>
    </row>
    <row r="201" customFormat="false" ht="15.75" hidden="false" customHeight="true" outlineLevel="0" collapsed="false">
      <c r="A201" s="2" t="s">
        <v>237</v>
      </c>
      <c r="B201" s="2" t="s">
        <v>183</v>
      </c>
      <c r="C201" s="1" t="str">
        <f aca="false">A201&amp;B201</f>
        <v>2800990000</v>
      </c>
      <c r="D201" s="13" t="n">
        <v>0</v>
      </c>
    </row>
    <row r="202" customFormat="false" ht="15.75" hidden="false" customHeight="true" outlineLevel="0" collapsed="false">
      <c r="A202" s="2" t="s">
        <v>238</v>
      </c>
      <c r="B202" s="2" t="s">
        <v>124</v>
      </c>
      <c r="C202" s="1" t="str">
        <f aca="false">A202&amp;B202</f>
        <v>2900243003</v>
      </c>
      <c r="D202" s="13" t="n">
        <v>33951138</v>
      </c>
    </row>
    <row r="203" customFormat="false" ht="15.75" hidden="false" customHeight="true" outlineLevel="0" collapsed="false">
      <c r="A203" s="2" t="s">
        <v>238</v>
      </c>
      <c r="B203" s="2" t="s">
        <v>127</v>
      </c>
      <c r="C203" s="1" t="str">
        <f aca="false">A203&amp;B203</f>
        <v>2900320000</v>
      </c>
      <c r="D203" s="13" t="n">
        <v>-33951138</v>
      </c>
    </row>
    <row r="204" customFormat="false" ht="15.75" hidden="false" customHeight="true" outlineLevel="0" collapsed="false">
      <c r="A204" s="2" t="s">
        <v>40</v>
      </c>
      <c r="B204" s="2" t="s">
        <v>129</v>
      </c>
      <c r="C204" s="1" t="str">
        <f aca="false">A204&amp;B204</f>
        <v>3100110098</v>
      </c>
      <c r="D204" s="13" t="n">
        <v>0</v>
      </c>
    </row>
    <row r="205" customFormat="false" ht="15.75" hidden="false" customHeight="true" outlineLevel="0" collapsed="false">
      <c r="A205" s="2" t="s">
        <v>40</v>
      </c>
      <c r="B205" s="2" t="s">
        <v>239</v>
      </c>
      <c r="C205" s="1" t="str">
        <f aca="false">A205&amp;B205</f>
        <v>3100112000</v>
      </c>
      <c r="D205" s="13" t="n">
        <v>-1266255.62</v>
      </c>
    </row>
    <row r="206" customFormat="false" ht="15.75" hidden="false" customHeight="true" outlineLevel="0" collapsed="false">
      <c r="A206" s="2" t="s">
        <v>40</v>
      </c>
      <c r="B206" s="2" t="s">
        <v>240</v>
      </c>
      <c r="C206" s="1" t="str">
        <f aca="false">A206&amp;B206</f>
        <v>3100112001</v>
      </c>
      <c r="D206" s="13" t="n">
        <v>-17191.78</v>
      </c>
    </row>
    <row r="207" customFormat="false" ht="15.75" hidden="false" customHeight="true" outlineLevel="0" collapsed="false">
      <c r="A207" s="2" t="s">
        <v>40</v>
      </c>
      <c r="B207" s="2" t="s">
        <v>241</v>
      </c>
      <c r="C207" s="1" t="str">
        <f aca="false">A207&amp;B207</f>
        <v>3100140001</v>
      </c>
      <c r="D207" s="13" t="n">
        <v>66681.62</v>
      </c>
    </row>
    <row r="208" customFormat="false" ht="15.75" hidden="false" customHeight="true" outlineLevel="0" collapsed="false">
      <c r="A208" s="2" t="s">
        <v>40</v>
      </c>
      <c r="B208" s="2" t="s">
        <v>133</v>
      </c>
      <c r="C208" s="1" t="str">
        <f aca="false">A208&amp;B208</f>
        <v>3100140002</v>
      </c>
      <c r="D208" s="13" t="n">
        <v>943322.78</v>
      </c>
    </row>
    <row r="209" customFormat="false" ht="15.75" hidden="false" customHeight="true" outlineLevel="0" collapsed="false">
      <c r="A209" s="2" t="s">
        <v>40</v>
      </c>
      <c r="B209" s="2" t="s">
        <v>138</v>
      </c>
      <c r="C209" s="1" t="str">
        <f aca="false">A209&amp;B209</f>
        <v>3100160201</v>
      </c>
      <c r="D209" s="13" t="n">
        <v>13670290.7</v>
      </c>
    </row>
    <row r="210" customFormat="false" ht="15.75" hidden="false" customHeight="true" outlineLevel="0" collapsed="false">
      <c r="A210" s="2" t="s">
        <v>40</v>
      </c>
      <c r="B210" s="2" t="s">
        <v>140</v>
      </c>
      <c r="C210" s="1" t="str">
        <f aca="false">A210&amp;B210</f>
        <v>3100160251</v>
      </c>
      <c r="D210" s="13" t="n">
        <v>-8851847.82</v>
      </c>
    </row>
    <row r="211" customFormat="false" ht="15.75" hidden="false" customHeight="true" outlineLevel="0" collapsed="false">
      <c r="A211" s="2" t="s">
        <v>40</v>
      </c>
      <c r="B211" s="2" t="s">
        <v>242</v>
      </c>
      <c r="C211" s="1" t="str">
        <f aca="false">A211&amp;B211</f>
        <v>3100165201</v>
      </c>
      <c r="D211" s="13" t="n">
        <v>2268102.35</v>
      </c>
    </row>
    <row r="212" customFormat="false" ht="15.75" hidden="false" customHeight="true" outlineLevel="0" collapsed="false">
      <c r="A212" s="2" t="s">
        <v>40</v>
      </c>
      <c r="B212" s="2" t="s">
        <v>243</v>
      </c>
      <c r="C212" s="1" t="str">
        <f aca="false">A212&amp;B212</f>
        <v>3100170200</v>
      </c>
      <c r="D212" s="13" t="n">
        <v>128323218.59</v>
      </c>
    </row>
    <row r="213" customFormat="false" ht="15.75" hidden="false" customHeight="true" outlineLevel="0" collapsed="false">
      <c r="A213" s="2" t="s">
        <v>40</v>
      </c>
      <c r="B213" s="2" t="s">
        <v>244</v>
      </c>
      <c r="C213" s="1" t="str">
        <f aca="false">A213&amp;B213</f>
        <v>3100170250</v>
      </c>
      <c r="D213" s="13" t="n">
        <v>-58176240.67</v>
      </c>
    </row>
    <row r="214" customFormat="false" ht="15.75" hidden="false" customHeight="true" outlineLevel="0" collapsed="false">
      <c r="A214" s="2" t="s">
        <v>40</v>
      </c>
      <c r="B214" s="2" t="s">
        <v>245</v>
      </c>
      <c r="C214" s="1" t="str">
        <f aca="false">A214&amp;B214</f>
        <v>3100175000</v>
      </c>
      <c r="D214" s="13" t="n">
        <v>16290316.3</v>
      </c>
    </row>
    <row r="215" customFormat="false" ht="15.75" hidden="false" customHeight="true" outlineLevel="0" collapsed="false">
      <c r="A215" s="2" t="s">
        <v>40</v>
      </c>
      <c r="B215" s="2" t="s">
        <v>145</v>
      </c>
      <c r="C215" s="1" t="str">
        <f aca="false">A215&amp;B215</f>
        <v>3100193000</v>
      </c>
      <c r="D215" s="13" t="n">
        <v>1689205.78</v>
      </c>
    </row>
    <row r="216" customFormat="false" ht="15.75" hidden="false" customHeight="true" outlineLevel="0" collapsed="false">
      <c r="A216" s="2" t="s">
        <v>40</v>
      </c>
      <c r="B216" s="2" t="s">
        <v>147</v>
      </c>
      <c r="C216" s="1" t="str">
        <f aca="false">A216&amp;B216</f>
        <v>3100200004</v>
      </c>
      <c r="D216" s="13" t="n">
        <v>-17180.35</v>
      </c>
    </row>
    <row r="217" customFormat="false" ht="15.75" hidden="false" customHeight="true" outlineLevel="0" collapsed="false">
      <c r="A217" s="2" t="s">
        <v>40</v>
      </c>
      <c r="B217" s="2" t="s">
        <v>246</v>
      </c>
      <c r="C217" s="1" t="str">
        <f aca="false">A217&amp;B217</f>
        <v>3100200007</v>
      </c>
      <c r="D217" s="13" t="n">
        <v>2000</v>
      </c>
    </row>
    <row r="218" customFormat="false" ht="15.75" hidden="false" customHeight="true" outlineLevel="0" collapsed="false">
      <c r="A218" s="2" t="s">
        <v>40</v>
      </c>
      <c r="B218" s="2" t="s">
        <v>148</v>
      </c>
      <c r="C218" s="1" t="str">
        <f aca="false">A218&amp;B218</f>
        <v>3100200098</v>
      </c>
      <c r="D218" s="13" t="n">
        <v>-12757482.71</v>
      </c>
    </row>
    <row r="219" customFormat="false" ht="15.75" hidden="false" customHeight="true" outlineLevel="0" collapsed="false">
      <c r="A219" s="2" t="s">
        <v>40</v>
      </c>
      <c r="B219" s="2" t="s">
        <v>247</v>
      </c>
      <c r="C219" s="1" t="str">
        <f aca="false">A219&amp;B219</f>
        <v>3100200203</v>
      </c>
      <c r="D219" s="13" t="n">
        <v>-210.92</v>
      </c>
    </row>
    <row r="220" customFormat="false" ht="15.75" hidden="false" customHeight="true" outlineLevel="0" collapsed="false">
      <c r="A220" s="2" t="s">
        <v>40</v>
      </c>
      <c r="B220" s="2" t="s">
        <v>248</v>
      </c>
      <c r="C220" s="1" t="str">
        <f aca="false">A220&amp;B220</f>
        <v>3100200205</v>
      </c>
      <c r="D220" s="13" t="n">
        <v>-195317.05</v>
      </c>
    </row>
    <row r="221" customFormat="false" ht="15.75" hidden="false" customHeight="true" outlineLevel="0" collapsed="false">
      <c r="A221" s="2" t="s">
        <v>40</v>
      </c>
      <c r="B221" s="2" t="s">
        <v>249</v>
      </c>
      <c r="C221" s="1" t="str">
        <f aca="false">A221&amp;B221</f>
        <v>3100200206</v>
      </c>
      <c r="D221" s="13" t="n">
        <v>-16788.09</v>
      </c>
    </row>
    <row r="222" customFormat="false" ht="15.75" hidden="false" customHeight="true" outlineLevel="0" collapsed="false">
      <c r="A222" s="2" t="s">
        <v>40</v>
      </c>
      <c r="B222" s="2" t="s">
        <v>250</v>
      </c>
      <c r="C222" s="1" t="str">
        <f aca="false">A222&amp;B222</f>
        <v>3100200207</v>
      </c>
      <c r="D222" s="13" t="n">
        <v>0</v>
      </c>
    </row>
    <row r="223" customFormat="false" ht="15.75" hidden="false" customHeight="true" outlineLevel="0" collapsed="false">
      <c r="A223" s="2" t="s">
        <v>40</v>
      </c>
      <c r="B223" s="2" t="s">
        <v>149</v>
      </c>
      <c r="C223" s="1" t="str">
        <f aca="false">A223&amp;B223</f>
        <v>3100200208</v>
      </c>
      <c r="D223" s="13" t="n">
        <v>-21438812.05</v>
      </c>
    </row>
    <row r="224" customFormat="false" ht="15.75" hidden="false" customHeight="true" outlineLevel="0" collapsed="false">
      <c r="A224" s="2" t="s">
        <v>40</v>
      </c>
      <c r="B224" s="2" t="s">
        <v>251</v>
      </c>
      <c r="C224" s="1" t="str">
        <f aca="false">A224&amp;B224</f>
        <v>3100200210</v>
      </c>
      <c r="D224" s="13" t="n">
        <v>-584.52</v>
      </c>
    </row>
    <row r="225" customFormat="false" ht="15.75" hidden="false" customHeight="true" outlineLevel="0" collapsed="false">
      <c r="A225" s="2" t="s">
        <v>40</v>
      </c>
      <c r="B225" s="2" t="s">
        <v>252</v>
      </c>
      <c r="C225" s="1" t="str">
        <f aca="false">A225&amp;B225</f>
        <v>3100200301</v>
      </c>
      <c r="D225" s="13" t="n">
        <v>0</v>
      </c>
    </row>
    <row r="226" customFormat="false" ht="15.75" hidden="false" customHeight="true" outlineLevel="0" collapsed="false">
      <c r="A226" s="2" t="s">
        <v>40</v>
      </c>
      <c r="B226" s="2" t="s">
        <v>150</v>
      </c>
      <c r="C226" s="1" t="str">
        <f aca="false">A226&amp;B226</f>
        <v>3100200302</v>
      </c>
      <c r="D226" s="13" t="n">
        <v>-299230.72</v>
      </c>
    </row>
    <row r="227" customFormat="false" ht="15.75" hidden="false" customHeight="true" outlineLevel="0" collapsed="false">
      <c r="A227" s="2" t="s">
        <v>40</v>
      </c>
      <c r="B227" s="2" t="s">
        <v>154</v>
      </c>
      <c r="C227" s="1" t="str">
        <f aca="false">A227&amp;B227</f>
        <v>3100201300</v>
      </c>
      <c r="D227" s="13" t="n">
        <v>-747470.48</v>
      </c>
    </row>
    <row r="228" customFormat="false" ht="15.75" hidden="false" customHeight="true" outlineLevel="0" collapsed="false">
      <c r="A228" s="2" t="s">
        <v>40</v>
      </c>
      <c r="B228" s="2" t="s">
        <v>155</v>
      </c>
      <c r="C228" s="1" t="str">
        <f aca="false">A228&amp;B228</f>
        <v>3100201302</v>
      </c>
      <c r="D228" s="13" t="n">
        <v>-9480045.38</v>
      </c>
    </row>
    <row r="229" customFormat="false" ht="15.75" hidden="false" customHeight="true" outlineLevel="0" collapsed="false">
      <c r="A229" s="2" t="s">
        <v>40</v>
      </c>
      <c r="B229" s="2" t="s">
        <v>156</v>
      </c>
      <c r="C229" s="1" t="str">
        <f aca="false">A229&amp;B229</f>
        <v>3100201400</v>
      </c>
      <c r="D229" s="13" t="n">
        <v>-4056996.6</v>
      </c>
    </row>
    <row r="230" customFormat="false" ht="15.75" hidden="false" customHeight="true" outlineLevel="0" collapsed="false">
      <c r="A230" s="2" t="s">
        <v>40</v>
      </c>
      <c r="B230" s="2" t="s">
        <v>253</v>
      </c>
      <c r="C230" s="1" t="str">
        <f aca="false">A230&amp;B230</f>
        <v>3100201500</v>
      </c>
      <c r="D230" s="13" t="n">
        <v>-86560</v>
      </c>
    </row>
    <row r="231" customFormat="false" ht="15.75" hidden="false" customHeight="true" outlineLevel="0" collapsed="false">
      <c r="A231" s="2" t="s">
        <v>40</v>
      </c>
      <c r="B231" s="2" t="s">
        <v>157</v>
      </c>
      <c r="C231" s="1" t="str">
        <f aca="false">A231&amp;B231</f>
        <v>3100204020</v>
      </c>
      <c r="D231" s="13" t="n">
        <v>824182.72</v>
      </c>
    </row>
    <row r="232" customFormat="false" ht="15.75" hidden="false" customHeight="true" outlineLevel="0" collapsed="false">
      <c r="A232" s="2" t="s">
        <v>40</v>
      </c>
      <c r="B232" s="2" t="s">
        <v>158</v>
      </c>
      <c r="C232" s="1" t="str">
        <f aca="false">A232&amp;B232</f>
        <v>3100210000</v>
      </c>
      <c r="D232" s="13" t="n">
        <v>-2031414.28</v>
      </c>
    </row>
    <row r="233" customFormat="false" ht="15.75" hidden="false" customHeight="true" outlineLevel="0" collapsed="false">
      <c r="A233" s="2" t="s">
        <v>40</v>
      </c>
      <c r="B233" s="2" t="s">
        <v>254</v>
      </c>
      <c r="C233" s="1" t="str">
        <f aca="false">A233&amp;B233</f>
        <v>3100210001</v>
      </c>
      <c r="D233" s="13" t="n">
        <v>-75000</v>
      </c>
    </row>
    <row r="234" customFormat="false" ht="15.75" hidden="false" customHeight="true" outlineLevel="0" collapsed="false">
      <c r="A234" s="2" t="s">
        <v>40</v>
      </c>
      <c r="B234" s="2" t="s">
        <v>159</v>
      </c>
      <c r="C234" s="1" t="str">
        <f aca="false">A234&amp;B234</f>
        <v>3100210002</v>
      </c>
      <c r="D234" s="13" t="n">
        <v>-1371446.2</v>
      </c>
    </row>
    <row r="235" customFormat="false" ht="15.75" hidden="false" customHeight="true" outlineLevel="0" collapsed="false">
      <c r="A235" s="2" t="s">
        <v>40</v>
      </c>
      <c r="B235" s="2" t="s">
        <v>123</v>
      </c>
      <c r="C235" s="1" t="str">
        <f aca="false">A235&amp;B235</f>
        <v>3100243000</v>
      </c>
      <c r="D235" s="13" t="n">
        <v>-2161796498.67</v>
      </c>
    </row>
    <row r="236" customFormat="false" ht="15.75" hidden="false" customHeight="true" outlineLevel="0" collapsed="false">
      <c r="A236" s="2" t="s">
        <v>40</v>
      </c>
      <c r="B236" s="2" t="s">
        <v>124</v>
      </c>
      <c r="C236" s="1" t="str">
        <f aca="false">A236&amp;B236</f>
        <v>3100243003</v>
      </c>
      <c r="D236" s="13" t="n">
        <v>2117927671.86</v>
      </c>
    </row>
    <row r="237" customFormat="false" ht="15.75" hidden="false" customHeight="true" outlineLevel="0" collapsed="false">
      <c r="A237" s="2" t="s">
        <v>40</v>
      </c>
      <c r="B237" s="2" t="s">
        <v>125</v>
      </c>
      <c r="C237" s="1" t="str">
        <f aca="false">A237&amp;B237</f>
        <v>3100243005</v>
      </c>
      <c r="D237" s="13" t="n">
        <v>2737521</v>
      </c>
    </row>
    <row r="238" customFormat="false" ht="15.75" hidden="false" customHeight="true" outlineLevel="0" collapsed="false">
      <c r="A238" s="2" t="s">
        <v>40</v>
      </c>
      <c r="B238" s="2" t="s">
        <v>161</v>
      </c>
      <c r="C238" s="1" t="str">
        <f aca="false">A238&amp;B238</f>
        <v>3100243006</v>
      </c>
      <c r="D238" s="13" t="n">
        <v>0</v>
      </c>
    </row>
    <row r="239" customFormat="false" ht="15.75" hidden="false" customHeight="true" outlineLevel="0" collapsed="false">
      <c r="A239" s="2" t="s">
        <v>40</v>
      </c>
      <c r="B239" s="2" t="s">
        <v>162</v>
      </c>
      <c r="C239" s="1" t="str">
        <f aca="false">A239&amp;B239</f>
        <v>3100250000</v>
      </c>
      <c r="D239" s="13" t="n">
        <v>-1452364.55</v>
      </c>
    </row>
    <row r="240" customFormat="false" ht="15.75" hidden="false" customHeight="true" outlineLevel="0" collapsed="false">
      <c r="A240" s="2" t="s">
        <v>40</v>
      </c>
      <c r="B240" s="2" t="s">
        <v>255</v>
      </c>
      <c r="C240" s="1" t="str">
        <f aca="false">A240&amp;B240</f>
        <v>3100250001</v>
      </c>
      <c r="D240" s="13" t="n">
        <v>-66412.52</v>
      </c>
    </row>
    <row r="241" customFormat="false" ht="15.75" hidden="false" customHeight="true" outlineLevel="0" collapsed="false">
      <c r="A241" s="2" t="s">
        <v>40</v>
      </c>
      <c r="B241" s="2" t="s">
        <v>165</v>
      </c>
      <c r="C241" s="1" t="str">
        <f aca="false">A241&amp;B241</f>
        <v>3100280000</v>
      </c>
      <c r="D241" s="13" t="n">
        <v>-1471911</v>
      </c>
    </row>
    <row r="242" customFormat="false" ht="15.75" hidden="false" customHeight="true" outlineLevel="0" collapsed="false">
      <c r="A242" s="2" t="s">
        <v>40</v>
      </c>
      <c r="B242" s="2" t="s">
        <v>126</v>
      </c>
      <c r="C242" s="1" t="str">
        <f aca="false">A242&amp;B242</f>
        <v>3100300002</v>
      </c>
      <c r="D242" s="13" t="n">
        <v>-3800001</v>
      </c>
    </row>
    <row r="243" customFormat="false" ht="15.75" hidden="false" customHeight="true" outlineLevel="0" collapsed="false">
      <c r="A243" s="2" t="s">
        <v>40</v>
      </c>
      <c r="B243" s="2" t="s">
        <v>127</v>
      </c>
      <c r="C243" s="1" t="str">
        <f aca="false">A243&amp;B243</f>
        <v>3100320000</v>
      </c>
      <c r="D243" s="13" t="n">
        <v>4730749.28</v>
      </c>
    </row>
    <row r="244" customFormat="false" ht="15.75" hidden="false" customHeight="true" outlineLevel="0" collapsed="false">
      <c r="A244" s="2" t="s">
        <v>40</v>
      </c>
      <c r="B244" s="2" t="s">
        <v>256</v>
      </c>
      <c r="C244" s="1" t="str">
        <f aca="false">A244&amp;B244</f>
        <v>3100502900</v>
      </c>
      <c r="D244" s="13" t="n">
        <v>-115847360.55</v>
      </c>
    </row>
    <row r="245" customFormat="false" ht="15.75" hidden="false" customHeight="true" outlineLevel="0" collapsed="false">
      <c r="A245" s="2" t="s">
        <v>40</v>
      </c>
      <c r="B245" s="2" t="s">
        <v>8</v>
      </c>
      <c r="C245" s="1" t="str">
        <f aca="false">A245&amp;B245</f>
        <v>3100602000</v>
      </c>
      <c r="D245" s="13" t="n">
        <v>20646088.19</v>
      </c>
    </row>
    <row r="246" customFormat="false" ht="15.75" hidden="false" customHeight="true" outlineLevel="0" collapsed="false">
      <c r="A246" s="2" t="s">
        <v>40</v>
      </c>
      <c r="B246" s="2" t="s">
        <v>41</v>
      </c>
      <c r="C246" s="1" t="str">
        <f aca="false">A246&amp;B246</f>
        <v>3100602002</v>
      </c>
      <c r="D246" s="13" t="n">
        <v>737954.55</v>
      </c>
    </row>
    <row r="247" customFormat="false" ht="15.75" hidden="false" customHeight="true" outlineLevel="0" collapsed="false">
      <c r="A247" s="2" t="s">
        <v>40</v>
      </c>
      <c r="B247" s="2" t="s">
        <v>9</v>
      </c>
      <c r="C247" s="1" t="str">
        <f aca="false">A247&amp;B247</f>
        <v>3100602003</v>
      </c>
      <c r="D247" s="13" t="n">
        <v>168165.3</v>
      </c>
    </row>
    <row r="248" customFormat="false" ht="15.75" hidden="false" customHeight="true" outlineLevel="0" collapsed="false">
      <c r="A248" s="2" t="s">
        <v>40</v>
      </c>
      <c r="B248" s="2" t="s">
        <v>10</v>
      </c>
      <c r="C248" s="1" t="str">
        <f aca="false">A248&amp;B248</f>
        <v>3100602004</v>
      </c>
      <c r="D248" s="13" t="n">
        <v>41455.26</v>
      </c>
    </row>
    <row r="249" customFormat="false" ht="15.75" hidden="false" customHeight="true" outlineLevel="0" collapsed="false">
      <c r="A249" s="2" t="s">
        <v>40</v>
      </c>
      <c r="B249" s="2" t="s">
        <v>12</v>
      </c>
      <c r="C249" s="1" t="str">
        <f aca="false">A249&amp;B249</f>
        <v>3100602010</v>
      </c>
      <c r="D249" s="13" t="n">
        <v>1902105.73</v>
      </c>
    </row>
    <row r="250" customFormat="false" ht="15.75" hidden="false" customHeight="true" outlineLevel="0" collapsed="false">
      <c r="A250" s="2" t="s">
        <v>40</v>
      </c>
      <c r="B250" s="2" t="s">
        <v>13</v>
      </c>
      <c r="C250" s="1" t="str">
        <f aca="false">A250&amp;B250</f>
        <v>3100602020</v>
      </c>
      <c r="D250" s="13" t="n">
        <v>798776.24</v>
      </c>
    </row>
    <row r="251" customFormat="false" ht="15.75" hidden="false" customHeight="true" outlineLevel="0" collapsed="false">
      <c r="A251" s="2" t="s">
        <v>40</v>
      </c>
      <c r="B251" s="2" t="s">
        <v>14</v>
      </c>
      <c r="C251" s="1" t="str">
        <f aca="false">A251&amp;B251</f>
        <v>3100602030</v>
      </c>
      <c r="D251" s="13" t="n">
        <v>416109.92</v>
      </c>
    </row>
    <row r="252" customFormat="false" ht="15.75" hidden="false" customHeight="true" outlineLevel="0" collapsed="false">
      <c r="A252" s="2" t="s">
        <v>40</v>
      </c>
      <c r="B252" s="2" t="s">
        <v>42</v>
      </c>
      <c r="C252" s="1" t="str">
        <f aca="false">A252&amp;B252</f>
        <v>3100602040</v>
      </c>
      <c r="D252" s="13" t="n">
        <v>709279.42</v>
      </c>
    </row>
    <row r="253" customFormat="false" ht="15.75" hidden="false" customHeight="true" outlineLevel="0" collapsed="false">
      <c r="A253" s="2" t="s">
        <v>40</v>
      </c>
      <c r="B253" s="2" t="s">
        <v>43</v>
      </c>
      <c r="C253" s="1" t="str">
        <f aca="false">A253&amp;B253</f>
        <v>3100602050</v>
      </c>
      <c r="D253" s="13" t="n">
        <v>152036.42</v>
      </c>
    </row>
    <row r="254" customFormat="false" ht="15.75" hidden="false" customHeight="true" outlineLevel="0" collapsed="false">
      <c r="A254" s="2" t="s">
        <v>40</v>
      </c>
      <c r="B254" s="2" t="s">
        <v>44</v>
      </c>
      <c r="C254" s="1" t="str">
        <f aca="false">A254&amp;B254</f>
        <v>3100602060</v>
      </c>
      <c r="D254" s="13" t="n">
        <v>75403.36</v>
      </c>
    </row>
    <row r="255" customFormat="false" ht="15.75" hidden="false" customHeight="true" outlineLevel="0" collapsed="false">
      <c r="A255" s="2" t="s">
        <v>40</v>
      </c>
      <c r="B255" s="2" t="s">
        <v>15</v>
      </c>
      <c r="C255" s="1" t="str">
        <f aca="false">A255&amp;B255</f>
        <v>3100602070</v>
      </c>
      <c r="D255" s="13" t="n">
        <v>6910236.89</v>
      </c>
    </row>
    <row r="256" customFormat="false" ht="15.75" hidden="false" customHeight="true" outlineLevel="0" collapsed="false">
      <c r="A256" s="2" t="s">
        <v>40</v>
      </c>
      <c r="B256" s="2" t="s">
        <v>45</v>
      </c>
      <c r="C256" s="1" t="str">
        <f aca="false">A256&amp;B256</f>
        <v>3100602071</v>
      </c>
      <c r="D256" s="13" t="n">
        <v>146414.27</v>
      </c>
    </row>
    <row r="257" customFormat="false" ht="15.75" hidden="false" customHeight="true" outlineLevel="0" collapsed="false">
      <c r="A257" s="2" t="s">
        <v>40</v>
      </c>
      <c r="B257" s="2" t="s">
        <v>16</v>
      </c>
      <c r="C257" s="1" t="str">
        <f aca="false">A257&amp;B257</f>
        <v>3100602072</v>
      </c>
      <c r="D257" s="13" t="n">
        <v>1277109.12</v>
      </c>
    </row>
    <row r="258" customFormat="false" ht="15.75" hidden="false" customHeight="true" outlineLevel="0" collapsed="false">
      <c r="A258" s="2" t="s">
        <v>40</v>
      </c>
      <c r="B258" s="2" t="s">
        <v>46</v>
      </c>
      <c r="C258" s="1" t="str">
        <f aca="false">A258&amp;B258</f>
        <v>3100602073</v>
      </c>
      <c r="D258" s="13" t="n">
        <v>-455.62</v>
      </c>
    </row>
    <row r="259" customFormat="false" ht="15.75" hidden="false" customHeight="true" outlineLevel="0" collapsed="false">
      <c r="A259" s="2" t="s">
        <v>40</v>
      </c>
      <c r="B259" s="2" t="s">
        <v>47</v>
      </c>
      <c r="C259" s="1" t="str">
        <f aca="false">A259&amp;B259</f>
        <v>3100602074</v>
      </c>
      <c r="D259" s="13" t="n">
        <v>2133.64</v>
      </c>
    </row>
    <row r="260" customFormat="false" ht="15.75" hidden="false" customHeight="true" outlineLevel="0" collapsed="false">
      <c r="A260" s="2" t="s">
        <v>40</v>
      </c>
      <c r="B260" s="2" t="s">
        <v>48</v>
      </c>
      <c r="C260" s="1" t="str">
        <f aca="false">A260&amp;B260</f>
        <v>3100602080</v>
      </c>
      <c r="D260" s="13" t="n">
        <v>1468590.31</v>
      </c>
    </row>
    <row r="261" customFormat="false" ht="15.75" hidden="false" customHeight="true" outlineLevel="0" collapsed="false">
      <c r="A261" s="2" t="s">
        <v>40</v>
      </c>
      <c r="B261" s="2" t="s">
        <v>17</v>
      </c>
      <c r="C261" s="1" t="str">
        <f aca="false">A261&amp;B261</f>
        <v>3100603000</v>
      </c>
      <c r="D261" s="13" t="n">
        <v>2325858.25</v>
      </c>
    </row>
    <row r="262" customFormat="false" ht="15.75" hidden="false" customHeight="true" outlineLevel="0" collapsed="false">
      <c r="A262" s="2" t="s">
        <v>40</v>
      </c>
      <c r="B262" s="2" t="s">
        <v>22</v>
      </c>
      <c r="C262" s="1" t="str">
        <f aca="false">A262&amp;B262</f>
        <v>3100604010</v>
      </c>
      <c r="D262" s="13" t="n">
        <v>96145.28</v>
      </c>
    </row>
    <row r="263" customFormat="false" ht="15.75" hidden="false" customHeight="true" outlineLevel="0" collapsed="false">
      <c r="A263" s="2" t="s">
        <v>40</v>
      </c>
      <c r="B263" s="2" t="s">
        <v>33</v>
      </c>
      <c r="C263" s="1" t="str">
        <f aca="false">A263&amp;B263</f>
        <v>3100604031</v>
      </c>
      <c r="D263" s="13" t="n">
        <v>1604839</v>
      </c>
    </row>
    <row r="264" customFormat="false" ht="15.75" hidden="false" customHeight="true" outlineLevel="0" collapsed="false">
      <c r="A264" s="2" t="s">
        <v>40</v>
      </c>
      <c r="B264" s="2" t="s">
        <v>19</v>
      </c>
      <c r="C264" s="1" t="str">
        <f aca="false">A264&amp;B264</f>
        <v>3100604040</v>
      </c>
      <c r="D264" s="13" t="n">
        <v>6874962.96</v>
      </c>
    </row>
    <row r="265" customFormat="false" ht="15.75" hidden="false" customHeight="true" outlineLevel="0" collapsed="false">
      <c r="A265" s="2" t="s">
        <v>40</v>
      </c>
      <c r="B265" s="2" t="s">
        <v>49</v>
      </c>
      <c r="C265" s="1" t="str">
        <f aca="false">A265&amp;B265</f>
        <v>3100604050</v>
      </c>
      <c r="D265" s="13" t="n">
        <v>20276617.73</v>
      </c>
    </row>
    <row r="266" customFormat="false" ht="15.75" hidden="false" customHeight="true" outlineLevel="0" collapsed="false">
      <c r="A266" s="2" t="s">
        <v>40</v>
      </c>
      <c r="B266" s="2" t="s">
        <v>50</v>
      </c>
      <c r="C266" s="1" t="str">
        <f aca="false">A266&amp;B266</f>
        <v>3100604060</v>
      </c>
      <c r="D266" s="13" t="n">
        <v>922425.49</v>
      </c>
    </row>
    <row r="267" customFormat="false" ht="15.75" hidden="false" customHeight="true" outlineLevel="0" collapsed="false">
      <c r="A267" s="2" t="s">
        <v>40</v>
      </c>
      <c r="B267" s="2" t="s">
        <v>51</v>
      </c>
      <c r="C267" s="1" t="str">
        <f aca="false">A267&amp;B267</f>
        <v>3100605000</v>
      </c>
      <c r="D267" s="13" t="n">
        <v>7360</v>
      </c>
    </row>
    <row r="268" customFormat="false" ht="15.75" hidden="false" customHeight="true" outlineLevel="0" collapsed="false">
      <c r="A268" s="2" t="s">
        <v>40</v>
      </c>
      <c r="B268" s="2" t="s">
        <v>52</v>
      </c>
      <c r="C268" s="1" t="str">
        <f aca="false">A268&amp;B268</f>
        <v>3100605010</v>
      </c>
      <c r="D268" s="13" t="n">
        <v>7509644</v>
      </c>
    </row>
    <row r="269" customFormat="false" ht="15.75" hidden="false" customHeight="true" outlineLevel="0" collapsed="false">
      <c r="A269" s="2" t="s">
        <v>40</v>
      </c>
      <c r="B269" s="2" t="s">
        <v>53</v>
      </c>
      <c r="C269" s="1" t="str">
        <f aca="false">A269&amp;B269</f>
        <v>3100605020</v>
      </c>
      <c r="D269" s="13" t="n">
        <v>170548.59</v>
      </c>
    </row>
    <row r="270" customFormat="false" ht="15.75" hidden="false" customHeight="true" outlineLevel="0" collapsed="false">
      <c r="A270" s="2" t="s">
        <v>40</v>
      </c>
      <c r="B270" s="2" t="s">
        <v>54</v>
      </c>
      <c r="C270" s="1" t="str">
        <f aca="false">A270&amp;B270</f>
        <v>3100606000</v>
      </c>
      <c r="D270" s="13" t="n">
        <v>6237799.63</v>
      </c>
    </row>
    <row r="271" customFormat="false" ht="15.75" hidden="false" customHeight="true" outlineLevel="0" collapsed="false">
      <c r="A271" s="2" t="s">
        <v>40</v>
      </c>
      <c r="B271" s="2" t="s">
        <v>55</v>
      </c>
      <c r="C271" s="1" t="str">
        <f aca="false">A271&amp;B271</f>
        <v>3100606010</v>
      </c>
      <c r="D271" s="13" t="n">
        <v>933520.96</v>
      </c>
    </row>
    <row r="272" customFormat="false" ht="15.75" hidden="false" customHeight="true" outlineLevel="0" collapsed="false">
      <c r="A272" s="2" t="s">
        <v>40</v>
      </c>
      <c r="B272" s="2" t="s">
        <v>56</v>
      </c>
      <c r="C272" s="1" t="str">
        <f aca="false">A272&amp;B272</f>
        <v>3100606020</v>
      </c>
      <c r="D272" s="13" t="n">
        <v>2423476.85</v>
      </c>
    </row>
    <row r="273" customFormat="false" ht="15.75" hidden="false" customHeight="true" outlineLevel="0" collapsed="false">
      <c r="A273" s="2" t="s">
        <v>40</v>
      </c>
      <c r="B273" s="2" t="s">
        <v>57</v>
      </c>
      <c r="C273" s="1" t="str">
        <f aca="false">A273&amp;B273</f>
        <v>3100606030</v>
      </c>
      <c r="D273" s="13" t="n">
        <v>1901961.24</v>
      </c>
    </row>
    <row r="274" customFormat="false" ht="15.75" hidden="false" customHeight="true" outlineLevel="0" collapsed="false">
      <c r="A274" s="2" t="s">
        <v>40</v>
      </c>
      <c r="B274" s="2" t="s">
        <v>58</v>
      </c>
      <c r="C274" s="1" t="str">
        <f aca="false">A274&amp;B274</f>
        <v>3100606031</v>
      </c>
      <c r="D274" s="13" t="n">
        <v>853922.14</v>
      </c>
    </row>
    <row r="275" customFormat="false" ht="15.75" hidden="false" customHeight="true" outlineLevel="0" collapsed="false">
      <c r="A275" s="2" t="s">
        <v>40</v>
      </c>
      <c r="B275" s="2" t="s">
        <v>62</v>
      </c>
      <c r="C275" s="1" t="str">
        <f aca="false">A275&amp;B275</f>
        <v>3100606040</v>
      </c>
      <c r="D275" s="13" t="n">
        <v>3483761.91</v>
      </c>
    </row>
    <row r="276" customFormat="false" ht="15.75" hidden="false" customHeight="true" outlineLevel="0" collapsed="false">
      <c r="A276" s="2" t="s">
        <v>40</v>
      </c>
      <c r="B276" s="2" t="s">
        <v>31</v>
      </c>
      <c r="C276" s="1" t="str">
        <f aca="false">A276&amp;B276</f>
        <v>3100607000</v>
      </c>
      <c r="D276" s="13" t="n">
        <v>23596.58</v>
      </c>
    </row>
    <row r="277" customFormat="false" ht="15.75" hidden="false" customHeight="true" outlineLevel="0" collapsed="false">
      <c r="A277" s="2" t="s">
        <v>40</v>
      </c>
      <c r="B277" s="2" t="s">
        <v>32</v>
      </c>
      <c r="C277" s="1" t="str">
        <f aca="false">A277&amp;B277</f>
        <v>3100607010</v>
      </c>
      <c r="D277" s="13" t="n">
        <v>24390.91</v>
      </c>
    </row>
    <row r="278" customFormat="false" ht="15.75" hidden="false" customHeight="true" outlineLevel="0" collapsed="false">
      <c r="A278" s="2" t="s">
        <v>40</v>
      </c>
      <c r="B278" s="2" t="s">
        <v>61</v>
      </c>
      <c r="C278" s="1" t="str">
        <f aca="false">A278&amp;B278</f>
        <v>3100608000</v>
      </c>
      <c r="D278" s="13" t="n">
        <v>29928.29</v>
      </c>
    </row>
    <row r="279" customFormat="false" ht="15.75" hidden="false" customHeight="true" outlineLevel="0" collapsed="false">
      <c r="A279" s="2" t="s">
        <v>40</v>
      </c>
      <c r="B279" s="2" t="s">
        <v>59</v>
      </c>
      <c r="C279" s="1" t="str">
        <f aca="false">A279&amp;B279</f>
        <v>3100608010</v>
      </c>
      <c r="D279" s="13" t="n">
        <v>3116.32</v>
      </c>
    </row>
    <row r="280" customFormat="false" ht="15.75" hidden="false" customHeight="true" outlineLevel="0" collapsed="false">
      <c r="A280" s="2" t="s">
        <v>40</v>
      </c>
      <c r="B280" s="2" t="s">
        <v>23</v>
      </c>
      <c r="C280" s="1" t="str">
        <f aca="false">A280&amp;B280</f>
        <v>3100608020</v>
      </c>
      <c r="D280" s="13" t="n">
        <v>569627.17</v>
      </c>
    </row>
    <row r="281" customFormat="false" ht="15.75" hidden="false" customHeight="true" outlineLevel="0" collapsed="false">
      <c r="A281" s="2" t="s">
        <v>40</v>
      </c>
      <c r="B281" s="2" t="s">
        <v>60</v>
      </c>
      <c r="C281" s="1" t="str">
        <f aca="false">A281&amp;B281</f>
        <v>3100608040</v>
      </c>
      <c r="D281" s="13" t="n">
        <v>-37328.14</v>
      </c>
    </row>
    <row r="282" customFormat="false" ht="15.75" hidden="false" customHeight="true" outlineLevel="0" collapsed="false">
      <c r="A282" s="2" t="s">
        <v>40</v>
      </c>
      <c r="B282" s="2" t="s">
        <v>63</v>
      </c>
      <c r="C282" s="1" t="str">
        <f aca="false">A282&amp;B282</f>
        <v>3100609000</v>
      </c>
      <c r="D282" s="13" t="n">
        <v>215058.92</v>
      </c>
    </row>
    <row r="283" customFormat="false" ht="15.75" hidden="false" customHeight="true" outlineLevel="0" collapsed="false">
      <c r="A283" s="2" t="s">
        <v>40</v>
      </c>
      <c r="B283" s="2" t="s">
        <v>27</v>
      </c>
      <c r="C283" s="1" t="str">
        <f aca="false">A283&amp;B283</f>
        <v>3100609002</v>
      </c>
      <c r="D283" s="13" t="n">
        <v>126488.41</v>
      </c>
    </row>
    <row r="284" customFormat="false" ht="15.75" hidden="false" customHeight="true" outlineLevel="0" collapsed="false">
      <c r="A284" s="2" t="s">
        <v>40</v>
      </c>
      <c r="B284" s="2" t="s">
        <v>28</v>
      </c>
      <c r="C284" s="1" t="str">
        <f aca="false">A284&amp;B284</f>
        <v>3100609003</v>
      </c>
      <c r="D284" s="13" t="n">
        <v>52403.56</v>
      </c>
    </row>
    <row r="285" customFormat="false" ht="15.75" hidden="false" customHeight="true" outlineLevel="0" collapsed="false">
      <c r="A285" s="2" t="s">
        <v>40</v>
      </c>
      <c r="B285" s="2" t="s">
        <v>24</v>
      </c>
      <c r="C285" s="1" t="str">
        <f aca="false">A285&amp;B285</f>
        <v>3100609004</v>
      </c>
      <c r="D285" s="13" t="n">
        <v>552127.68</v>
      </c>
    </row>
    <row r="286" customFormat="false" ht="15.75" hidden="false" customHeight="true" outlineLevel="0" collapsed="false">
      <c r="A286" s="2" t="s">
        <v>40</v>
      </c>
      <c r="B286" s="2" t="s">
        <v>25</v>
      </c>
      <c r="C286" s="1" t="str">
        <f aca="false">A286&amp;B286</f>
        <v>3100609005</v>
      </c>
      <c r="D286" s="13" t="n">
        <v>0</v>
      </c>
    </row>
    <row r="287" customFormat="false" ht="15.75" hidden="false" customHeight="true" outlineLevel="0" collapsed="false">
      <c r="A287" s="2" t="s">
        <v>40</v>
      </c>
      <c r="B287" s="2" t="s">
        <v>37</v>
      </c>
      <c r="C287" s="1" t="str">
        <f aca="false">A287&amp;B287</f>
        <v>3100609008</v>
      </c>
      <c r="D287" s="13" t="n">
        <v>9641410.97</v>
      </c>
    </row>
    <row r="288" customFormat="false" ht="15.75" hidden="false" customHeight="true" outlineLevel="0" collapsed="false">
      <c r="A288" s="2" t="s">
        <v>40</v>
      </c>
      <c r="B288" s="2" t="s">
        <v>29</v>
      </c>
      <c r="C288" s="1" t="str">
        <f aca="false">A288&amp;B288</f>
        <v>3100609009</v>
      </c>
      <c r="D288" s="13" t="n">
        <v>203065.54</v>
      </c>
    </row>
    <row r="289" customFormat="false" ht="15.75" hidden="false" customHeight="true" outlineLevel="0" collapsed="false">
      <c r="A289" s="2" t="s">
        <v>40</v>
      </c>
      <c r="B289" s="2" t="s">
        <v>30</v>
      </c>
      <c r="C289" s="1" t="str">
        <f aca="false">A289&amp;B289</f>
        <v>3100609010</v>
      </c>
      <c r="D289" s="13" t="n">
        <v>70761.25</v>
      </c>
    </row>
    <row r="290" customFormat="false" ht="15.75" hidden="false" customHeight="true" outlineLevel="0" collapsed="false">
      <c r="A290" s="2" t="s">
        <v>40</v>
      </c>
      <c r="B290" s="2" t="s">
        <v>39</v>
      </c>
      <c r="C290" s="1" t="str">
        <f aca="false">A290&amp;B290</f>
        <v>3100609012</v>
      </c>
      <c r="D290" s="13" t="n">
        <v>-4754.65</v>
      </c>
    </row>
    <row r="291" customFormat="false" ht="15.75" hidden="false" customHeight="true" outlineLevel="0" collapsed="false">
      <c r="A291" s="2" t="s">
        <v>40</v>
      </c>
      <c r="B291" s="2" t="s">
        <v>64</v>
      </c>
      <c r="C291" s="1" t="str">
        <f aca="false">A291&amp;B291</f>
        <v>3100610000</v>
      </c>
      <c r="D291" s="13" t="n">
        <v>-2658039.63</v>
      </c>
    </row>
    <row r="292" customFormat="false" ht="15.75" hidden="false" customHeight="true" outlineLevel="0" collapsed="false">
      <c r="A292" s="2" t="s">
        <v>40</v>
      </c>
      <c r="B292" s="2" t="s">
        <v>65</v>
      </c>
      <c r="C292" s="1" t="str">
        <f aca="false">A292&amp;B292</f>
        <v>3100610001</v>
      </c>
      <c r="D292" s="13" t="n">
        <v>-797983.22</v>
      </c>
    </row>
    <row r="293" customFormat="false" ht="15.75" hidden="false" customHeight="true" outlineLevel="0" collapsed="false">
      <c r="A293" s="2" t="s">
        <v>40</v>
      </c>
      <c r="B293" s="2" t="s">
        <v>66</v>
      </c>
      <c r="C293" s="1" t="str">
        <f aca="false">A293&amp;B293</f>
        <v>3100610003</v>
      </c>
      <c r="D293" s="13" t="n">
        <v>0.01</v>
      </c>
    </row>
    <row r="294" customFormat="false" ht="15.75" hidden="false" customHeight="true" outlineLevel="0" collapsed="false">
      <c r="A294" s="2" t="s">
        <v>40</v>
      </c>
      <c r="B294" s="2" t="s">
        <v>67</v>
      </c>
      <c r="C294" s="1" t="str">
        <f aca="false">A294&amp;B294</f>
        <v>3100610004</v>
      </c>
      <c r="D294" s="13" t="n">
        <v>0</v>
      </c>
    </row>
    <row r="295" customFormat="false" ht="15.75" hidden="false" customHeight="true" outlineLevel="0" collapsed="false">
      <c r="A295" s="2" t="s">
        <v>40</v>
      </c>
      <c r="B295" s="2" t="s">
        <v>177</v>
      </c>
      <c r="C295" s="1" t="str">
        <f aca="false">A295&amp;B295</f>
        <v>3100630002</v>
      </c>
      <c r="D295" s="13" t="n">
        <v>927582.02</v>
      </c>
    </row>
    <row r="296" customFormat="false" ht="15.75" hidden="false" customHeight="true" outlineLevel="0" collapsed="false">
      <c r="A296" s="2" t="s">
        <v>40</v>
      </c>
      <c r="B296" s="2" t="s">
        <v>257</v>
      </c>
      <c r="C296" s="1" t="str">
        <f aca="false">A296&amp;B296</f>
        <v>3100630101</v>
      </c>
      <c r="D296" s="13" t="n">
        <v>14431681.79</v>
      </c>
    </row>
    <row r="297" customFormat="false" ht="15.75" hidden="false" customHeight="true" outlineLevel="0" collapsed="false">
      <c r="A297" s="2" t="s">
        <v>40</v>
      </c>
      <c r="B297" s="2" t="s">
        <v>258</v>
      </c>
      <c r="C297" s="1" t="str">
        <f aca="false">A297&amp;B297</f>
        <v>3100630200</v>
      </c>
      <c r="D297" s="13" t="n">
        <v>-21053</v>
      </c>
    </row>
    <row r="298" customFormat="false" ht="15.75" hidden="false" customHeight="true" outlineLevel="0" collapsed="false">
      <c r="A298" s="2" t="s">
        <v>40</v>
      </c>
      <c r="B298" s="2" t="s">
        <v>181</v>
      </c>
      <c r="C298" s="1" t="str">
        <f aca="false">A298&amp;B298</f>
        <v>3100640900</v>
      </c>
      <c r="D298" s="13" t="n">
        <v>1440396.74</v>
      </c>
    </row>
    <row r="299" customFormat="false" ht="15.75" hidden="false" customHeight="true" outlineLevel="0" collapsed="false">
      <c r="A299" s="2" t="s">
        <v>40</v>
      </c>
      <c r="B299" s="2" t="s">
        <v>182</v>
      </c>
      <c r="C299" s="1" t="str">
        <f aca="false">A299&amp;B299</f>
        <v>3100690000</v>
      </c>
      <c r="D299" s="13" t="n">
        <v>-19364</v>
      </c>
    </row>
    <row r="300" customFormat="false" ht="15.75" hidden="false" customHeight="true" outlineLevel="0" collapsed="false">
      <c r="A300" s="2" t="s">
        <v>40</v>
      </c>
      <c r="B300" s="2" t="s">
        <v>20</v>
      </c>
      <c r="C300" s="1" t="str">
        <f aca="false">A300&amp;B300</f>
        <v>3100910001</v>
      </c>
      <c r="D300" s="13" t="n">
        <v>0</v>
      </c>
    </row>
    <row r="301" customFormat="false" ht="15.75" hidden="false" customHeight="true" outlineLevel="0" collapsed="false">
      <c r="A301" s="2" t="s">
        <v>40</v>
      </c>
      <c r="B301" s="2" t="s">
        <v>34</v>
      </c>
      <c r="C301" s="1" t="str">
        <f aca="false">A301&amp;B301</f>
        <v>3100910002</v>
      </c>
      <c r="D301" s="13" t="n">
        <v>0</v>
      </c>
    </row>
    <row r="302" customFormat="false" ht="15.75" hidden="false" customHeight="true" outlineLevel="0" collapsed="false">
      <c r="A302" s="2" t="s">
        <v>40</v>
      </c>
      <c r="B302" s="2" t="s">
        <v>18</v>
      </c>
      <c r="C302" s="1" t="str">
        <f aca="false">A302&amp;B302</f>
        <v>3100910003</v>
      </c>
      <c r="D302" s="13" t="n">
        <v>0</v>
      </c>
    </row>
    <row r="303" customFormat="false" ht="15.75" hidden="false" customHeight="true" outlineLevel="0" collapsed="false">
      <c r="A303" s="2" t="s">
        <v>40</v>
      </c>
      <c r="B303" s="2" t="s">
        <v>35</v>
      </c>
      <c r="C303" s="1" t="str">
        <f aca="false">A303&amp;B303</f>
        <v>3100910004</v>
      </c>
      <c r="D303" s="13" t="n">
        <v>0</v>
      </c>
    </row>
    <row r="304" customFormat="false" ht="15.75" hidden="false" customHeight="true" outlineLevel="0" collapsed="false">
      <c r="A304" s="2" t="s">
        <v>40</v>
      </c>
      <c r="B304" s="2" t="s">
        <v>183</v>
      </c>
      <c r="C304" s="1" t="str">
        <f aca="false">A304&amp;B304</f>
        <v>3100990000</v>
      </c>
      <c r="D304" s="13" t="n">
        <v>0</v>
      </c>
    </row>
    <row r="305" customFormat="false" ht="15.75" hidden="false" customHeight="true" outlineLevel="0" collapsed="false">
      <c r="A305" s="2" t="s">
        <v>40</v>
      </c>
      <c r="B305" s="2" t="s">
        <v>184</v>
      </c>
      <c r="C305" s="1" t="str">
        <f aca="false">A305&amp;B305</f>
        <v>3100990002</v>
      </c>
      <c r="D305" s="13" t="n">
        <v>0</v>
      </c>
    </row>
    <row r="306" customFormat="false" ht="15.75" hidden="false" customHeight="true" outlineLevel="0" collapsed="false">
      <c r="A306" s="2" t="s">
        <v>40</v>
      </c>
      <c r="B306" s="2" t="s">
        <v>185</v>
      </c>
      <c r="C306" s="1" t="str">
        <f aca="false">A306&amp;B306</f>
        <v>3100990003</v>
      </c>
      <c r="D306" s="13" t="n">
        <v>0</v>
      </c>
    </row>
    <row r="307" customFormat="false" ht="15.75" hidden="false" customHeight="true" outlineLevel="0" collapsed="false">
      <c r="A307" s="2" t="s">
        <v>68</v>
      </c>
      <c r="B307" s="2" t="s">
        <v>239</v>
      </c>
      <c r="C307" s="1" t="str">
        <f aca="false">A307&amp;B307</f>
        <v>3150112000</v>
      </c>
      <c r="D307" s="13" t="n">
        <v>-1624.96</v>
      </c>
    </row>
    <row r="308" customFormat="false" ht="15.75" hidden="false" customHeight="true" outlineLevel="0" collapsed="false">
      <c r="A308" s="2" t="s">
        <v>68</v>
      </c>
      <c r="B308" s="2" t="s">
        <v>240</v>
      </c>
      <c r="C308" s="1" t="str">
        <f aca="false">A308&amp;B308</f>
        <v>3150112001</v>
      </c>
      <c r="D308" s="13" t="n">
        <v>-5432.35</v>
      </c>
    </row>
    <row r="309" customFormat="false" ht="15.75" hidden="false" customHeight="true" outlineLevel="0" collapsed="false">
      <c r="A309" s="2" t="s">
        <v>68</v>
      </c>
      <c r="B309" s="2" t="s">
        <v>145</v>
      </c>
      <c r="C309" s="1" t="str">
        <f aca="false">A309&amp;B309</f>
        <v>3150193000</v>
      </c>
      <c r="D309" s="13" t="n">
        <v>456829</v>
      </c>
    </row>
    <row r="310" customFormat="false" ht="15.75" hidden="false" customHeight="true" outlineLevel="0" collapsed="false">
      <c r="A310" s="2" t="s">
        <v>68</v>
      </c>
      <c r="B310" s="2" t="s">
        <v>147</v>
      </c>
      <c r="C310" s="1" t="str">
        <f aca="false">A310&amp;B310</f>
        <v>3150200004</v>
      </c>
      <c r="D310" s="13" t="n">
        <v>594.46</v>
      </c>
    </row>
    <row r="311" customFormat="false" ht="15.75" hidden="false" customHeight="true" outlineLevel="0" collapsed="false">
      <c r="A311" s="2" t="s">
        <v>68</v>
      </c>
      <c r="B311" s="2" t="s">
        <v>148</v>
      </c>
      <c r="C311" s="1" t="str">
        <f aca="false">A311&amp;B311</f>
        <v>3150200098</v>
      </c>
      <c r="D311" s="13" t="n">
        <v>-8566.92</v>
      </c>
    </row>
    <row r="312" customFormat="false" ht="15.75" hidden="false" customHeight="true" outlineLevel="0" collapsed="false">
      <c r="A312" s="2" t="s">
        <v>68</v>
      </c>
      <c r="B312" s="2" t="s">
        <v>259</v>
      </c>
      <c r="C312" s="1" t="str">
        <f aca="false">A312&amp;B312</f>
        <v>3150200200</v>
      </c>
      <c r="D312" s="13" t="n">
        <v>-867.8</v>
      </c>
    </row>
    <row r="313" customFormat="false" ht="15.75" hidden="false" customHeight="true" outlineLevel="0" collapsed="false">
      <c r="A313" s="2" t="s">
        <v>68</v>
      </c>
      <c r="B313" s="2" t="s">
        <v>247</v>
      </c>
      <c r="C313" s="1" t="str">
        <f aca="false">A313&amp;B313</f>
        <v>3150200203</v>
      </c>
      <c r="D313" s="13" t="n">
        <v>1908.67</v>
      </c>
    </row>
    <row r="314" customFormat="false" ht="15.75" hidden="false" customHeight="true" outlineLevel="0" collapsed="false">
      <c r="A314" s="2" t="s">
        <v>68</v>
      </c>
      <c r="B314" s="2" t="s">
        <v>248</v>
      </c>
      <c r="C314" s="1" t="str">
        <f aca="false">A314&amp;B314</f>
        <v>3150200205</v>
      </c>
      <c r="D314" s="13" t="n">
        <v>-106946.5</v>
      </c>
    </row>
    <row r="315" customFormat="false" ht="15.75" hidden="false" customHeight="true" outlineLevel="0" collapsed="false">
      <c r="A315" s="2" t="s">
        <v>68</v>
      </c>
      <c r="B315" s="2" t="s">
        <v>249</v>
      </c>
      <c r="C315" s="1" t="str">
        <f aca="false">A315&amp;B315</f>
        <v>3150200206</v>
      </c>
      <c r="D315" s="13" t="n">
        <v>-12478.64</v>
      </c>
    </row>
    <row r="316" customFormat="false" ht="15.75" hidden="false" customHeight="true" outlineLevel="0" collapsed="false">
      <c r="A316" s="2" t="s">
        <v>68</v>
      </c>
      <c r="B316" s="2" t="s">
        <v>149</v>
      </c>
      <c r="C316" s="1" t="str">
        <f aca="false">A316&amp;B316</f>
        <v>3150200208</v>
      </c>
      <c r="D316" s="13" t="n">
        <v>-83620.32</v>
      </c>
    </row>
    <row r="317" customFormat="false" ht="15.75" hidden="false" customHeight="true" outlineLevel="0" collapsed="false">
      <c r="A317" s="2" t="s">
        <v>68</v>
      </c>
      <c r="B317" s="2" t="s">
        <v>150</v>
      </c>
      <c r="C317" s="1" t="str">
        <f aca="false">A317&amp;B317</f>
        <v>3150200302</v>
      </c>
      <c r="D317" s="13" t="n">
        <v>0</v>
      </c>
    </row>
    <row r="318" customFormat="false" ht="15.75" hidden="false" customHeight="true" outlineLevel="0" collapsed="false">
      <c r="A318" s="2" t="s">
        <v>68</v>
      </c>
      <c r="B318" s="2" t="s">
        <v>154</v>
      </c>
      <c r="C318" s="1" t="str">
        <f aca="false">A318&amp;B318</f>
        <v>3150201300</v>
      </c>
      <c r="D318" s="13" t="n">
        <v>-408326.74</v>
      </c>
    </row>
    <row r="319" customFormat="false" ht="15.75" hidden="false" customHeight="true" outlineLevel="0" collapsed="false">
      <c r="A319" s="2" t="s">
        <v>68</v>
      </c>
      <c r="B319" s="2" t="s">
        <v>155</v>
      </c>
      <c r="C319" s="1" t="str">
        <f aca="false">A319&amp;B319</f>
        <v>3150201302</v>
      </c>
      <c r="D319" s="13" t="n">
        <v>-3099</v>
      </c>
    </row>
    <row r="320" customFormat="false" ht="15.75" hidden="false" customHeight="true" outlineLevel="0" collapsed="false">
      <c r="A320" s="2" t="s">
        <v>68</v>
      </c>
      <c r="B320" s="2" t="s">
        <v>253</v>
      </c>
      <c r="C320" s="1" t="str">
        <f aca="false">A320&amp;B320</f>
        <v>3150201500</v>
      </c>
      <c r="D320" s="13" t="n">
        <v>-3315.51</v>
      </c>
    </row>
    <row r="321" customFormat="false" ht="15.75" hidden="false" customHeight="true" outlineLevel="0" collapsed="false">
      <c r="A321" s="2" t="s">
        <v>68</v>
      </c>
      <c r="B321" s="2" t="s">
        <v>157</v>
      </c>
      <c r="C321" s="1" t="str">
        <f aca="false">A321&amp;B321</f>
        <v>3150204020</v>
      </c>
      <c r="D321" s="13" t="n">
        <v>4.64</v>
      </c>
    </row>
    <row r="322" customFormat="false" ht="15.75" hidden="false" customHeight="true" outlineLevel="0" collapsed="false">
      <c r="A322" s="2" t="s">
        <v>68</v>
      </c>
      <c r="B322" s="2" t="s">
        <v>158</v>
      </c>
      <c r="C322" s="1" t="str">
        <f aca="false">A322&amp;B322</f>
        <v>3150210000</v>
      </c>
      <c r="D322" s="13" t="n">
        <v>-894026.76</v>
      </c>
    </row>
    <row r="323" customFormat="false" ht="15.75" hidden="false" customHeight="true" outlineLevel="0" collapsed="false">
      <c r="A323" s="2" t="s">
        <v>68</v>
      </c>
      <c r="B323" s="2" t="s">
        <v>159</v>
      </c>
      <c r="C323" s="1" t="str">
        <f aca="false">A323&amp;B323</f>
        <v>3150210002</v>
      </c>
      <c r="D323" s="13" t="n">
        <v>-19160.87</v>
      </c>
    </row>
    <row r="324" customFormat="false" ht="15.75" hidden="false" customHeight="true" outlineLevel="0" collapsed="false">
      <c r="A324" s="2" t="s">
        <v>68</v>
      </c>
      <c r="B324" s="2" t="s">
        <v>123</v>
      </c>
      <c r="C324" s="1" t="str">
        <f aca="false">A324&amp;B324</f>
        <v>3150243000</v>
      </c>
      <c r="D324" s="13" t="n">
        <v>-89239341.49</v>
      </c>
    </row>
    <row r="325" customFormat="false" ht="15.75" hidden="false" customHeight="true" outlineLevel="0" collapsed="false">
      <c r="A325" s="2" t="s">
        <v>68</v>
      </c>
      <c r="B325" s="2" t="s">
        <v>124</v>
      </c>
      <c r="C325" s="1" t="str">
        <f aca="false">A325&amp;B325</f>
        <v>3150243003</v>
      </c>
      <c r="D325" s="13" t="n">
        <v>80914573.86</v>
      </c>
    </row>
    <row r="326" customFormat="false" ht="15.75" hidden="false" customHeight="true" outlineLevel="0" collapsed="false">
      <c r="A326" s="2" t="s">
        <v>68</v>
      </c>
      <c r="B326" s="2" t="s">
        <v>125</v>
      </c>
      <c r="C326" s="1" t="str">
        <f aca="false">A326&amp;B326</f>
        <v>3150243005</v>
      </c>
      <c r="D326" s="13" t="n">
        <v>2672916</v>
      </c>
    </row>
    <row r="327" customFormat="false" ht="15.75" hidden="false" customHeight="true" outlineLevel="0" collapsed="false">
      <c r="A327" s="2" t="s">
        <v>68</v>
      </c>
      <c r="B327" s="2" t="s">
        <v>161</v>
      </c>
      <c r="C327" s="1" t="str">
        <f aca="false">A327&amp;B327</f>
        <v>3150243006</v>
      </c>
      <c r="D327" s="13" t="n">
        <v>0</v>
      </c>
    </row>
    <row r="328" customFormat="false" ht="15.75" hidden="false" customHeight="true" outlineLevel="0" collapsed="false">
      <c r="A328" s="2" t="s">
        <v>68</v>
      </c>
      <c r="B328" s="2" t="s">
        <v>162</v>
      </c>
      <c r="C328" s="1" t="str">
        <f aca="false">A328&amp;B328</f>
        <v>3150250000</v>
      </c>
      <c r="D328" s="13" t="n">
        <v>-722237.12</v>
      </c>
    </row>
    <row r="329" customFormat="false" ht="15.75" hidden="false" customHeight="true" outlineLevel="0" collapsed="false">
      <c r="A329" s="2" t="s">
        <v>68</v>
      </c>
      <c r="B329" s="2" t="s">
        <v>127</v>
      </c>
      <c r="C329" s="1" t="str">
        <f aca="false">A329&amp;B329</f>
        <v>3150320000</v>
      </c>
      <c r="D329" s="13" t="n">
        <v>7462218.35</v>
      </c>
    </row>
    <row r="330" customFormat="false" ht="15.75" hidden="false" customHeight="true" outlineLevel="0" collapsed="false">
      <c r="A330" s="2" t="s">
        <v>68</v>
      </c>
      <c r="B330" s="2" t="s">
        <v>256</v>
      </c>
      <c r="C330" s="1" t="str">
        <f aca="false">A330&amp;B330</f>
        <v>3150502900</v>
      </c>
      <c r="D330" s="13" t="n">
        <v>-15154765.27</v>
      </c>
    </row>
    <row r="331" customFormat="false" ht="15.75" hidden="false" customHeight="true" outlineLevel="0" collapsed="false">
      <c r="A331" s="2" t="s">
        <v>68</v>
      </c>
      <c r="B331" s="2" t="s">
        <v>8</v>
      </c>
      <c r="C331" s="1" t="str">
        <f aca="false">A331&amp;B331</f>
        <v>3150602000</v>
      </c>
      <c r="D331" s="13" t="n">
        <v>11149436.83</v>
      </c>
    </row>
    <row r="332" customFormat="false" ht="15.75" hidden="false" customHeight="true" outlineLevel="0" collapsed="false">
      <c r="A332" s="2" t="s">
        <v>68</v>
      </c>
      <c r="B332" s="2" t="s">
        <v>41</v>
      </c>
      <c r="C332" s="1" t="str">
        <f aca="false">A332&amp;B332</f>
        <v>3150602002</v>
      </c>
      <c r="D332" s="13" t="n">
        <v>7849.8</v>
      </c>
    </row>
    <row r="333" customFormat="false" ht="15.75" hidden="false" customHeight="true" outlineLevel="0" collapsed="false">
      <c r="A333" s="2" t="s">
        <v>68</v>
      </c>
      <c r="B333" s="2" t="s">
        <v>9</v>
      </c>
      <c r="C333" s="1" t="str">
        <f aca="false">A333&amp;B333</f>
        <v>3150602003</v>
      </c>
      <c r="D333" s="13" t="n">
        <v>232922.13</v>
      </c>
    </row>
    <row r="334" customFormat="false" ht="15.75" hidden="false" customHeight="true" outlineLevel="0" collapsed="false">
      <c r="A334" s="2" t="s">
        <v>68</v>
      </c>
      <c r="B334" s="2" t="s">
        <v>10</v>
      </c>
      <c r="C334" s="1" t="str">
        <f aca="false">A334&amp;B334</f>
        <v>3150602004</v>
      </c>
      <c r="D334" s="13" t="n">
        <v>12816.83</v>
      </c>
    </row>
    <row r="335" customFormat="false" ht="15.75" hidden="false" customHeight="true" outlineLevel="0" collapsed="false">
      <c r="A335" s="2" t="s">
        <v>68</v>
      </c>
      <c r="B335" s="2" t="s">
        <v>12</v>
      </c>
      <c r="C335" s="1" t="str">
        <f aca="false">A335&amp;B335</f>
        <v>3150602010</v>
      </c>
      <c r="D335" s="13" t="n">
        <v>926045.14</v>
      </c>
    </row>
    <row r="336" customFormat="false" ht="15.75" hidden="false" customHeight="true" outlineLevel="0" collapsed="false">
      <c r="A336" s="2" t="s">
        <v>68</v>
      </c>
      <c r="B336" s="2" t="s">
        <v>13</v>
      </c>
      <c r="C336" s="1" t="str">
        <f aca="false">A336&amp;B336</f>
        <v>3150602020</v>
      </c>
      <c r="D336" s="13" t="n">
        <v>424805.39</v>
      </c>
    </row>
    <row r="337" customFormat="false" ht="15.75" hidden="false" customHeight="true" outlineLevel="0" collapsed="false">
      <c r="A337" s="2" t="s">
        <v>68</v>
      </c>
      <c r="B337" s="2" t="s">
        <v>14</v>
      </c>
      <c r="C337" s="1" t="str">
        <f aca="false">A337&amp;B337</f>
        <v>3150602030</v>
      </c>
      <c r="D337" s="13" t="n">
        <v>88258.83</v>
      </c>
    </row>
    <row r="338" customFormat="false" ht="15.75" hidden="false" customHeight="true" outlineLevel="0" collapsed="false">
      <c r="A338" s="2" t="s">
        <v>68</v>
      </c>
      <c r="B338" s="2" t="s">
        <v>42</v>
      </c>
      <c r="C338" s="1" t="str">
        <f aca="false">A338&amp;B338</f>
        <v>3150602040</v>
      </c>
      <c r="D338" s="13" t="n">
        <v>216293.52</v>
      </c>
    </row>
    <row r="339" customFormat="false" ht="15.75" hidden="false" customHeight="true" outlineLevel="0" collapsed="false">
      <c r="A339" s="2" t="s">
        <v>68</v>
      </c>
      <c r="B339" s="2" t="s">
        <v>43</v>
      </c>
      <c r="C339" s="1" t="str">
        <f aca="false">A339&amp;B339</f>
        <v>3150602050</v>
      </c>
      <c r="D339" s="13" t="n">
        <v>13058.43</v>
      </c>
    </row>
    <row r="340" customFormat="false" ht="15.75" hidden="false" customHeight="true" outlineLevel="0" collapsed="false">
      <c r="A340" s="2" t="s">
        <v>68</v>
      </c>
      <c r="B340" s="2" t="s">
        <v>44</v>
      </c>
      <c r="C340" s="1" t="str">
        <f aca="false">A340&amp;B340</f>
        <v>3150602060</v>
      </c>
      <c r="D340" s="13" t="n">
        <v>6744.5</v>
      </c>
    </row>
    <row r="341" customFormat="false" ht="15.75" hidden="false" customHeight="true" outlineLevel="0" collapsed="false">
      <c r="A341" s="2" t="s">
        <v>68</v>
      </c>
      <c r="B341" s="2" t="s">
        <v>15</v>
      </c>
      <c r="C341" s="1" t="str">
        <f aca="false">A341&amp;B341</f>
        <v>3150602070</v>
      </c>
      <c r="D341" s="13" t="n">
        <v>-172535.13</v>
      </c>
    </row>
    <row r="342" customFormat="false" ht="15.75" hidden="false" customHeight="true" outlineLevel="0" collapsed="false">
      <c r="A342" s="2" t="s">
        <v>68</v>
      </c>
      <c r="B342" s="2" t="s">
        <v>45</v>
      </c>
      <c r="C342" s="1" t="str">
        <f aca="false">A342&amp;B342</f>
        <v>3150602071</v>
      </c>
      <c r="D342" s="13" t="n">
        <v>409</v>
      </c>
    </row>
    <row r="343" customFormat="false" ht="15.75" hidden="false" customHeight="true" outlineLevel="0" collapsed="false">
      <c r="A343" s="2" t="s">
        <v>68</v>
      </c>
      <c r="B343" s="2" t="s">
        <v>16</v>
      </c>
      <c r="C343" s="1" t="str">
        <f aca="false">A343&amp;B343</f>
        <v>3150602072</v>
      </c>
      <c r="D343" s="13" t="n">
        <v>625751.55</v>
      </c>
    </row>
    <row r="344" customFormat="false" ht="15.75" hidden="false" customHeight="true" outlineLevel="0" collapsed="false">
      <c r="A344" s="2" t="s">
        <v>68</v>
      </c>
      <c r="B344" s="2" t="s">
        <v>48</v>
      </c>
      <c r="C344" s="1" t="str">
        <f aca="false">A344&amp;B344</f>
        <v>3150602080</v>
      </c>
      <c r="D344" s="13" t="n">
        <v>12850.3</v>
      </c>
    </row>
    <row r="345" customFormat="false" ht="15.75" hidden="false" customHeight="true" outlineLevel="0" collapsed="false">
      <c r="A345" s="2" t="s">
        <v>68</v>
      </c>
      <c r="B345" s="2" t="s">
        <v>17</v>
      </c>
      <c r="C345" s="1" t="str">
        <f aca="false">A345&amp;B345</f>
        <v>3150603000</v>
      </c>
      <c r="D345" s="13" t="n">
        <v>1212454.12</v>
      </c>
    </row>
    <row r="346" customFormat="false" ht="15.75" hidden="false" customHeight="true" outlineLevel="0" collapsed="false">
      <c r="A346" s="2" t="s">
        <v>68</v>
      </c>
      <c r="B346" s="2" t="s">
        <v>33</v>
      </c>
      <c r="C346" s="1" t="str">
        <f aca="false">A346&amp;B346</f>
        <v>3150604031</v>
      </c>
      <c r="D346" s="13" t="n">
        <v>9739.51</v>
      </c>
    </row>
    <row r="347" customFormat="false" ht="15.75" hidden="false" customHeight="true" outlineLevel="0" collapsed="false">
      <c r="A347" s="2" t="s">
        <v>68</v>
      </c>
      <c r="B347" s="2" t="s">
        <v>49</v>
      </c>
      <c r="C347" s="1" t="str">
        <f aca="false">A347&amp;B347</f>
        <v>3150604050</v>
      </c>
      <c r="D347" s="13" t="n">
        <v>0</v>
      </c>
    </row>
    <row r="348" customFormat="false" ht="15.75" hidden="false" customHeight="true" outlineLevel="0" collapsed="false">
      <c r="A348" s="2" t="s">
        <v>68</v>
      </c>
      <c r="B348" s="2" t="s">
        <v>50</v>
      </c>
      <c r="C348" s="1" t="str">
        <f aca="false">A348&amp;B348</f>
        <v>3150604060</v>
      </c>
      <c r="D348" s="13" t="n">
        <v>-0.15</v>
      </c>
    </row>
    <row r="349" customFormat="false" ht="15.75" hidden="false" customHeight="true" outlineLevel="0" collapsed="false">
      <c r="A349" s="2" t="s">
        <v>68</v>
      </c>
      <c r="B349" s="2" t="s">
        <v>53</v>
      </c>
      <c r="C349" s="1" t="str">
        <f aca="false">A349&amp;B349</f>
        <v>3150605020</v>
      </c>
      <c r="D349" s="13" t="n">
        <v>742.46</v>
      </c>
    </row>
    <row r="350" customFormat="false" ht="15.75" hidden="false" customHeight="true" outlineLevel="0" collapsed="false">
      <c r="A350" s="2" t="s">
        <v>68</v>
      </c>
      <c r="B350" s="2" t="s">
        <v>31</v>
      </c>
      <c r="C350" s="1" t="str">
        <f aca="false">A350&amp;B350</f>
        <v>3150607000</v>
      </c>
      <c r="D350" s="13" t="n">
        <v>108.75</v>
      </c>
    </row>
    <row r="351" customFormat="false" ht="15.75" hidden="false" customHeight="true" outlineLevel="0" collapsed="false">
      <c r="A351" s="2" t="s">
        <v>68</v>
      </c>
      <c r="B351" s="2" t="s">
        <v>32</v>
      </c>
      <c r="C351" s="1" t="str">
        <f aca="false">A351&amp;B351</f>
        <v>3150607010</v>
      </c>
      <c r="D351" s="13" t="n">
        <v>1249</v>
      </c>
    </row>
    <row r="352" customFormat="false" ht="15.75" hidden="false" customHeight="true" outlineLevel="0" collapsed="false">
      <c r="A352" s="2" t="s">
        <v>68</v>
      </c>
      <c r="B352" s="2" t="s">
        <v>59</v>
      </c>
      <c r="C352" s="1" t="str">
        <f aca="false">A352&amp;B352</f>
        <v>3150608010</v>
      </c>
      <c r="D352" s="13" t="n">
        <v>89.09</v>
      </c>
    </row>
    <row r="353" customFormat="false" ht="15.75" hidden="false" customHeight="true" outlineLevel="0" collapsed="false">
      <c r="A353" s="2" t="s">
        <v>68</v>
      </c>
      <c r="B353" s="2" t="s">
        <v>60</v>
      </c>
      <c r="C353" s="1" t="str">
        <f aca="false">A353&amp;B353</f>
        <v>3150608040</v>
      </c>
      <c r="D353" s="13" t="n">
        <v>3861.08</v>
      </c>
    </row>
    <row r="354" customFormat="false" ht="15.75" hidden="false" customHeight="true" outlineLevel="0" collapsed="false">
      <c r="A354" s="2" t="s">
        <v>68</v>
      </c>
      <c r="B354" s="2" t="s">
        <v>27</v>
      </c>
      <c r="C354" s="1" t="str">
        <f aca="false">A354&amp;B354</f>
        <v>3150609002</v>
      </c>
      <c r="D354" s="13" t="n">
        <v>9482.47</v>
      </c>
    </row>
    <row r="355" customFormat="false" ht="15.75" hidden="false" customHeight="true" outlineLevel="0" collapsed="false">
      <c r="A355" s="2" t="s">
        <v>68</v>
      </c>
      <c r="B355" s="2" t="s">
        <v>28</v>
      </c>
      <c r="C355" s="1" t="str">
        <f aca="false">A355&amp;B355</f>
        <v>3150609003</v>
      </c>
      <c r="D355" s="13" t="n">
        <v>8809.51</v>
      </c>
    </row>
    <row r="356" customFormat="false" ht="15.75" hidden="false" customHeight="true" outlineLevel="0" collapsed="false">
      <c r="A356" s="2" t="s">
        <v>68</v>
      </c>
      <c r="B356" s="2" t="s">
        <v>24</v>
      </c>
      <c r="C356" s="1" t="str">
        <f aca="false">A356&amp;B356</f>
        <v>3150609004</v>
      </c>
      <c r="D356" s="13" t="n">
        <v>15267.04</v>
      </c>
    </row>
    <row r="357" customFormat="false" ht="15.75" hidden="false" customHeight="true" outlineLevel="0" collapsed="false">
      <c r="A357" s="2" t="s">
        <v>68</v>
      </c>
      <c r="B357" s="2" t="s">
        <v>29</v>
      </c>
      <c r="C357" s="1" t="str">
        <f aca="false">A357&amp;B357</f>
        <v>3150609009</v>
      </c>
      <c r="D357" s="13" t="n">
        <v>21081.93</v>
      </c>
    </row>
    <row r="358" customFormat="false" ht="15.75" hidden="false" customHeight="true" outlineLevel="0" collapsed="false">
      <c r="A358" s="2" t="s">
        <v>68</v>
      </c>
      <c r="B358" s="2" t="s">
        <v>30</v>
      </c>
      <c r="C358" s="1" t="str">
        <f aca="false">A358&amp;B358</f>
        <v>3150609010</v>
      </c>
      <c r="D358" s="13" t="n">
        <v>7072.24</v>
      </c>
    </row>
    <row r="359" customFormat="false" ht="15.75" hidden="false" customHeight="true" outlineLevel="0" collapsed="false">
      <c r="A359" s="2" t="s">
        <v>68</v>
      </c>
      <c r="B359" s="2" t="s">
        <v>181</v>
      </c>
      <c r="C359" s="1" t="str">
        <f aca="false">A359&amp;B359</f>
        <v>3150640900</v>
      </c>
      <c r="D359" s="13" t="n">
        <v>314391.1</v>
      </c>
    </row>
    <row r="360" customFormat="false" ht="15.75" hidden="false" customHeight="true" outlineLevel="0" collapsed="false">
      <c r="A360" s="2" t="s">
        <v>68</v>
      </c>
      <c r="B360" s="2" t="s">
        <v>182</v>
      </c>
      <c r="C360" s="1" t="str">
        <f aca="false">A360&amp;B360</f>
        <v>3150690000</v>
      </c>
      <c r="D360" s="13" t="n">
        <v>5710</v>
      </c>
    </row>
    <row r="361" customFormat="false" ht="15.75" hidden="false" customHeight="true" outlineLevel="0" collapsed="false">
      <c r="A361" s="2" t="s">
        <v>68</v>
      </c>
      <c r="B361" s="2" t="s">
        <v>183</v>
      </c>
      <c r="C361" s="1" t="str">
        <f aca="false">A361&amp;B361</f>
        <v>3150990000</v>
      </c>
      <c r="D361" s="13" t="n">
        <v>0</v>
      </c>
    </row>
    <row r="362" customFormat="false" ht="15.75" hidden="false" customHeight="true" outlineLevel="0" collapsed="false">
      <c r="A362" s="2" t="s">
        <v>69</v>
      </c>
      <c r="B362" s="2" t="s">
        <v>186</v>
      </c>
      <c r="C362" s="1" t="str">
        <f aca="false">A362&amp;B362</f>
        <v>3200100950</v>
      </c>
      <c r="D362" s="13" t="n">
        <v>0</v>
      </c>
    </row>
    <row r="363" customFormat="false" ht="15.75" hidden="false" customHeight="true" outlineLevel="0" collapsed="false">
      <c r="A363" s="2" t="s">
        <v>69</v>
      </c>
      <c r="B363" s="2" t="s">
        <v>260</v>
      </c>
      <c r="C363" s="1" t="str">
        <f aca="false">A363&amp;B363</f>
        <v>3200101043</v>
      </c>
      <c r="D363" s="13" t="n">
        <v>0</v>
      </c>
    </row>
    <row r="364" customFormat="false" ht="15.75" hidden="false" customHeight="true" outlineLevel="0" collapsed="false">
      <c r="A364" s="2" t="s">
        <v>69</v>
      </c>
      <c r="B364" s="2" t="s">
        <v>261</v>
      </c>
      <c r="C364" s="1" t="str">
        <f aca="false">A364&amp;B364</f>
        <v>3200110050</v>
      </c>
      <c r="D364" s="13" t="n">
        <v>0</v>
      </c>
    </row>
    <row r="365" customFormat="false" ht="15.75" hidden="false" customHeight="true" outlineLevel="0" collapsed="false">
      <c r="A365" s="2" t="s">
        <v>69</v>
      </c>
      <c r="B365" s="2" t="s">
        <v>262</v>
      </c>
      <c r="C365" s="1" t="str">
        <f aca="false">A365&amp;B365</f>
        <v>3200110054</v>
      </c>
      <c r="D365" s="13" t="n">
        <v>-36428372.82</v>
      </c>
    </row>
    <row r="366" customFormat="false" ht="15.75" hidden="false" customHeight="true" outlineLevel="0" collapsed="false">
      <c r="A366" s="2" t="s">
        <v>69</v>
      </c>
      <c r="B366" s="2" t="s">
        <v>129</v>
      </c>
      <c r="C366" s="1" t="str">
        <f aca="false">A366&amp;B366</f>
        <v>3200110098</v>
      </c>
      <c r="D366" s="13" t="n">
        <v>5758538.9</v>
      </c>
    </row>
    <row r="367" customFormat="false" ht="15.75" hidden="false" customHeight="true" outlineLevel="0" collapsed="false">
      <c r="A367" s="2" t="s">
        <v>69</v>
      </c>
      <c r="B367" s="2" t="s">
        <v>239</v>
      </c>
      <c r="C367" s="1" t="str">
        <f aca="false">A367&amp;B367</f>
        <v>3200112000</v>
      </c>
      <c r="D367" s="13" t="n">
        <v>80</v>
      </c>
    </row>
    <row r="368" customFormat="false" ht="15.75" hidden="false" customHeight="true" outlineLevel="0" collapsed="false">
      <c r="A368" s="2" t="s">
        <v>69</v>
      </c>
      <c r="B368" s="2" t="s">
        <v>240</v>
      </c>
      <c r="C368" s="1" t="str">
        <f aca="false">A368&amp;B368</f>
        <v>3200112001</v>
      </c>
      <c r="D368" s="13" t="n">
        <v>0</v>
      </c>
    </row>
    <row r="369" customFormat="false" ht="15.75" hidden="false" customHeight="true" outlineLevel="0" collapsed="false">
      <c r="A369" s="2" t="s">
        <v>69</v>
      </c>
      <c r="B369" s="2" t="s">
        <v>130</v>
      </c>
      <c r="C369" s="1" t="str">
        <f aca="false">A369&amp;B369</f>
        <v>3200113000</v>
      </c>
      <c r="D369" s="13" t="n">
        <v>64897617</v>
      </c>
    </row>
    <row r="370" customFormat="false" ht="15.75" hidden="false" customHeight="true" outlineLevel="0" collapsed="false">
      <c r="A370" s="2" t="s">
        <v>69</v>
      </c>
      <c r="B370" s="2" t="s">
        <v>131</v>
      </c>
      <c r="C370" s="1" t="str">
        <f aca="false">A370&amp;B370</f>
        <v>3200120000</v>
      </c>
      <c r="D370" s="13" t="n">
        <v>26373966.36</v>
      </c>
    </row>
    <row r="371" customFormat="false" ht="15.75" hidden="false" customHeight="true" outlineLevel="0" collapsed="false">
      <c r="A371" s="2" t="s">
        <v>69</v>
      </c>
      <c r="B371" s="2" t="s">
        <v>263</v>
      </c>
      <c r="C371" s="1" t="str">
        <f aca="false">A371&amp;B371</f>
        <v>3200120050</v>
      </c>
      <c r="D371" s="13" t="n">
        <v>200400</v>
      </c>
    </row>
    <row r="372" customFormat="false" ht="15.75" hidden="false" customHeight="true" outlineLevel="0" collapsed="false">
      <c r="A372" s="2" t="s">
        <v>69</v>
      </c>
      <c r="B372" s="2" t="s">
        <v>241</v>
      </c>
      <c r="C372" s="1" t="str">
        <f aca="false">A372&amp;B372</f>
        <v>3200140001</v>
      </c>
      <c r="D372" s="13" t="n">
        <v>1363.64</v>
      </c>
    </row>
    <row r="373" customFormat="false" ht="15.75" hidden="false" customHeight="true" outlineLevel="0" collapsed="false">
      <c r="A373" s="2" t="s">
        <v>69</v>
      </c>
      <c r="B373" s="2" t="s">
        <v>133</v>
      </c>
      <c r="C373" s="1" t="str">
        <f aca="false">A373&amp;B373</f>
        <v>3200140002</v>
      </c>
      <c r="D373" s="13" t="n">
        <v>-314694.37</v>
      </c>
    </row>
    <row r="374" customFormat="false" ht="15.75" hidden="false" customHeight="true" outlineLevel="0" collapsed="false">
      <c r="A374" s="2" t="s">
        <v>69</v>
      </c>
      <c r="B374" s="2" t="s">
        <v>264</v>
      </c>
      <c r="C374" s="1" t="str">
        <f aca="false">A374&amp;B374</f>
        <v>3200150000</v>
      </c>
      <c r="D374" s="13" t="n">
        <v>0</v>
      </c>
    </row>
    <row r="375" customFormat="false" ht="15.75" hidden="false" customHeight="true" outlineLevel="0" collapsed="false">
      <c r="A375" s="2" t="s">
        <v>69</v>
      </c>
      <c r="B375" s="2" t="s">
        <v>265</v>
      </c>
      <c r="C375" s="1" t="str">
        <f aca="false">A375&amp;B375</f>
        <v>3200150001</v>
      </c>
      <c r="D375" s="13" t="n">
        <v>-1659357.25</v>
      </c>
    </row>
    <row r="376" customFormat="false" ht="15.75" hidden="false" customHeight="true" outlineLevel="0" collapsed="false">
      <c r="A376" s="2" t="s">
        <v>69</v>
      </c>
      <c r="B376" s="2" t="s">
        <v>266</v>
      </c>
      <c r="C376" s="1" t="str">
        <f aca="false">A376&amp;B376</f>
        <v>3200150002</v>
      </c>
      <c r="D376" s="13" t="n">
        <v>2825745.55</v>
      </c>
    </row>
    <row r="377" customFormat="false" ht="15.75" hidden="false" customHeight="true" outlineLevel="0" collapsed="false">
      <c r="A377" s="2" t="s">
        <v>69</v>
      </c>
      <c r="B377" s="2" t="s">
        <v>134</v>
      </c>
      <c r="C377" s="1" t="str">
        <f aca="false">A377&amp;B377</f>
        <v>3200160000</v>
      </c>
      <c r="D377" s="13" t="n">
        <v>15835301.03</v>
      </c>
    </row>
    <row r="378" customFormat="false" ht="15.75" hidden="false" customHeight="true" outlineLevel="0" collapsed="false">
      <c r="A378" s="2" t="s">
        <v>69</v>
      </c>
      <c r="B378" s="2" t="s">
        <v>135</v>
      </c>
      <c r="C378" s="1" t="str">
        <f aca="false">A378&amp;B378</f>
        <v>3200160100</v>
      </c>
      <c r="D378" s="13" t="n">
        <v>32472862.58</v>
      </c>
    </row>
    <row r="379" customFormat="false" ht="15.75" hidden="false" customHeight="true" outlineLevel="0" collapsed="false">
      <c r="A379" s="2" t="s">
        <v>69</v>
      </c>
      <c r="B379" s="2" t="s">
        <v>136</v>
      </c>
      <c r="C379" s="1" t="str">
        <f aca="false">A379&amp;B379</f>
        <v>3200160150</v>
      </c>
      <c r="D379" s="13" t="n">
        <v>-29217346.58</v>
      </c>
    </row>
    <row r="380" customFormat="false" ht="15.75" hidden="false" customHeight="true" outlineLevel="0" collapsed="false">
      <c r="A380" s="2" t="s">
        <v>69</v>
      </c>
      <c r="B380" s="2" t="s">
        <v>137</v>
      </c>
      <c r="C380" s="1" t="str">
        <f aca="false">A380&amp;B380</f>
        <v>3200160200</v>
      </c>
      <c r="D380" s="13" t="n">
        <v>3478181890.84</v>
      </c>
    </row>
    <row r="381" customFormat="false" ht="15.75" hidden="false" customHeight="true" outlineLevel="0" collapsed="false">
      <c r="A381" s="2" t="s">
        <v>69</v>
      </c>
      <c r="B381" s="2" t="s">
        <v>138</v>
      </c>
      <c r="C381" s="1" t="str">
        <f aca="false">A381&amp;B381</f>
        <v>3200160201</v>
      </c>
      <c r="D381" s="13" t="n">
        <v>11794285.92</v>
      </c>
    </row>
    <row r="382" customFormat="false" ht="15.75" hidden="false" customHeight="true" outlineLevel="0" collapsed="false">
      <c r="A382" s="2" t="s">
        <v>69</v>
      </c>
      <c r="B382" s="2" t="s">
        <v>267</v>
      </c>
      <c r="C382" s="1" t="str">
        <f aca="false">A382&amp;B382</f>
        <v>3200160203</v>
      </c>
      <c r="D382" s="13" t="n">
        <v>283781865.23</v>
      </c>
    </row>
    <row r="383" customFormat="false" ht="15.75" hidden="false" customHeight="true" outlineLevel="0" collapsed="false">
      <c r="A383" s="2" t="s">
        <v>69</v>
      </c>
      <c r="B383" s="2" t="s">
        <v>139</v>
      </c>
      <c r="C383" s="1" t="str">
        <f aca="false">A383&amp;B383</f>
        <v>3200160250</v>
      </c>
      <c r="D383" s="13" t="n">
        <v>-2689472571.55</v>
      </c>
    </row>
    <row r="384" customFormat="false" ht="15.75" hidden="false" customHeight="true" outlineLevel="0" collapsed="false">
      <c r="A384" s="2" t="s">
        <v>69</v>
      </c>
      <c r="B384" s="2" t="s">
        <v>140</v>
      </c>
      <c r="C384" s="1" t="str">
        <f aca="false">A384&amp;B384</f>
        <v>3200160251</v>
      </c>
      <c r="D384" s="13" t="n">
        <v>-9602108.02</v>
      </c>
    </row>
    <row r="385" customFormat="false" ht="15.75" hidden="false" customHeight="true" outlineLevel="0" collapsed="false">
      <c r="A385" s="2" t="s">
        <v>69</v>
      </c>
      <c r="B385" s="2" t="s">
        <v>268</v>
      </c>
      <c r="C385" s="1" t="str">
        <f aca="false">A385&amp;B385</f>
        <v>3200160253</v>
      </c>
      <c r="D385" s="13" t="n">
        <v>-210658584.32</v>
      </c>
    </row>
    <row r="386" customFormat="false" ht="15.75" hidden="false" customHeight="true" outlineLevel="0" collapsed="false">
      <c r="A386" s="2" t="s">
        <v>69</v>
      </c>
      <c r="B386" s="2" t="s">
        <v>269</v>
      </c>
      <c r="C386" s="1" t="str">
        <f aca="false">A386&amp;B386</f>
        <v>3200160301</v>
      </c>
      <c r="D386" s="13" t="n">
        <v>4731619.99</v>
      </c>
    </row>
    <row r="387" customFormat="false" ht="15.75" hidden="false" customHeight="true" outlineLevel="0" collapsed="false">
      <c r="A387" s="2" t="s">
        <v>69</v>
      </c>
      <c r="B387" s="2" t="s">
        <v>141</v>
      </c>
      <c r="C387" s="1" t="str">
        <f aca="false">A387&amp;B387</f>
        <v>3200160302</v>
      </c>
      <c r="D387" s="13" t="n">
        <v>102710.72</v>
      </c>
    </row>
    <row r="388" customFormat="false" ht="15.75" hidden="false" customHeight="true" outlineLevel="0" collapsed="false">
      <c r="A388" s="2" t="s">
        <v>69</v>
      </c>
      <c r="B388" s="2" t="s">
        <v>270</v>
      </c>
      <c r="C388" s="1" t="str">
        <f aca="false">A388&amp;B388</f>
        <v>3200160351</v>
      </c>
      <c r="D388" s="13" t="n">
        <v>-3577937.41</v>
      </c>
    </row>
    <row r="389" customFormat="false" ht="15.75" hidden="false" customHeight="true" outlineLevel="0" collapsed="false">
      <c r="A389" s="2" t="s">
        <v>69</v>
      </c>
      <c r="B389" s="2" t="s">
        <v>142</v>
      </c>
      <c r="C389" s="1" t="str">
        <f aca="false">A389&amp;B389</f>
        <v>3200160352</v>
      </c>
      <c r="D389" s="13" t="n">
        <v>-8609.68</v>
      </c>
    </row>
    <row r="390" customFormat="false" ht="15.75" hidden="false" customHeight="true" outlineLevel="0" collapsed="false">
      <c r="A390" s="2" t="s">
        <v>69</v>
      </c>
      <c r="B390" s="2" t="s">
        <v>143</v>
      </c>
      <c r="C390" s="1" t="str">
        <f aca="false">A390&amp;B390</f>
        <v>3200165200</v>
      </c>
      <c r="D390" s="13" t="n">
        <v>37279158.72</v>
      </c>
    </row>
    <row r="391" customFormat="false" ht="15.75" hidden="false" customHeight="true" outlineLevel="0" collapsed="false">
      <c r="A391" s="2" t="s">
        <v>69</v>
      </c>
      <c r="B391" s="2" t="s">
        <v>242</v>
      </c>
      <c r="C391" s="1" t="str">
        <f aca="false">A391&amp;B391</f>
        <v>3200165201</v>
      </c>
      <c r="D391" s="13" t="n">
        <v>307942.86</v>
      </c>
    </row>
    <row r="392" customFormat="false" ht="15.75" hidden="false" customHeight="true" outlineLevel="0" collapsed="false">
      <c r="A392" s="2" t="s">
        <v>69</v>
      </c>
      <c r="B392" s="2" t="s">
        <v>271</v>
      </c>
      <c r="C392" s="1" t="str">
        <f aca="false">A392&amp;B392</f>
        <v>3200165203</v>
      </c>
      <c r="D392" s="13" t="n">
        <v>5431252.47</v>
      </c>
    </row>
    <row r="393" customFormat="false" ht="15.75" hidden="false" customHeight="true" outlineLevel="0" collapsed="false">
      <c r="A393" s="2" t="s">
        <v>69</v>
      </c>
      <c r="B393" s="2" t="s">
        <v>144</v>
      </c>
      <c r="C393" s="1" t="str">
        <f aca="false">A393&amp;B393</f>
        <v>3200169999</v>
      </c>
      <c r="D393" s="13" t="n">
        <v>0</v>
      </c>
    </row>
    <row r="394" customFormat="false" ht="15.75" hidden="false" customHeight="true" outlineLevel="0" collapsed="false">
      <c r="A394" s="2" t="s">
        <v>69</v>
      </c>
      <c r="B394" s="2" t="s">
        <v>272</v>
      </c>
      <c r="C394" s="1" t="str">
        <f aca="false">A394&amp;B394</f>
        <v>3200170301</v>
      </c>
      <c r="D394" s="13" t="n">
        <v>33951138</v>
      </c>
    </row>
    <row r="395" customFormat="false" ht="15.75" hidden="false" customHeight="true" outlineLevel="0" collapsed="false">
      <c r="A395" s="2" t="s">
        <v>69</v>
      </c>
      <c r="B395" s="2" t="s">
        <v>273</v>
      </c>
      <c r="C395" s="1" t="str">
        <f aca="false">A395&amp;B395</f>
        <v>3200170351</v>
      </c>
      <c r="D395" s="13" t="n">
        <v>-29506389.04</v>
      </c>
    </row>
    <row r="396" customFormat="false" ht="15.75" hidden="false" customHeight="true" outlineLevel="0" collapsed="false">
      <c r="A396" s="2" t="s">
        <v>69</v>
      </c>
      <c r="B396" s="2" t="s">
        <v>145</v>
      </c>
      <c r="C396" s="1" t="str">
        <f aca="false">A396&amp;B396</f>
        <v>3200193000</v>
      </c>
      <c r="D396" s="13" t="n">
        <v>86898754.65</v>
      </c>
    </row>
    <row r="397" customFormat="false" ht="15.75" hidden="false" customHeight="true" outlineLevel="0" collapsed="false">
      <c r="A397" s="2" t="s">
        <v>69</v>
      </c>
      <c r="B397" s="2" t="s">
        <v>274</v>
      </c>
      <c r="C397" s="1" t="str">
        <f aca="false">A397&amp;B397</f>
        <v>3200194000</v>
      </c>
      <c r="D397" s="13" t="n">
        <v>22193069.61</v>
      </c>
    </row>
    <row r="398" customFormat="false" ht="15.75" hidden="false" customHeight="true" outlineLevel="0" collapsed="false">
      <c r="A398" s="2" t="s">
        <v>69</v>
      </c>
      <c r="B398" s="2" t="s">
        <v>146</v>
      </c>
      <c r="C398" s="1" t="str">
        <f aca="false">A398&amp;B398</f>
        <v>3200200000</v>
      </c>
      <c r="D398" s="13" t="n">
        <v>-100000</v>
      </c>
    </row>
    <row r="399" customFormat="false" ht="15.75" hidden="false" customHeight="true" outlineLevel="0" collapsed="false">
      <c r="A399" s="2" t="s">
        <v>69</v>
      </c>
      <c r="B399" s="2" t="s">
        <v>275</v>
      </c>
      <c r="C399" s="1" t="str">
        <f aca="false">A399&amp;B399</f>
        <v>3200200003</v>
      </c>
      <c r="D399" s="13" t="n">
        <v>-116821</v>
      </c>
    </row>
    <row r="400" customFormat="false" ht="15.75" hidden="false" customHeight="true" outlineLevel="0" collapsed="false">
      <c r="A400" s="2" t="s">
        <v>69</v>
      </c>
      <c r="B400" s="2" t="s">
        <v>147</v>
      </c>
      <c r="C400" s="1" t="str">
        <f aca="false">A400&amp;B400</f>
        <v>3200200004</v>
      </c>
      <c r="D400" s="13" t="n">
        <v>4747.76</v>
      </c>
    </row>
    <row r="401" customFormat="false" ht="15.75" hidden="false" customHeight="true" outlineLevel="0" collapsed="false">
      <c r="A401" s="2" t="s">
        <v>69</v>
      </c>
      <c r="B401" s="2" t="s">
        <v>148</v>
      </c>
      <c r="C401" s="1" t="str">
        <f aca="false">A401&amp;B401</f>
        <v>3200200098</v>
      </c>
      <c r="D401" s="13" t="n">
        <v>-10249440.29</v>
      </c>
    </row>
    <row r="402" customFormat="false" ht="15.75" hidden="false" customHeight="true" outlineLevel="0" collapsed="false">
      <c r="A402" s="2" t="s">
        <v>69</v>
      </c>
      <c r="B402" s="2" t="s">
        <v>259</v>
      </c>
      <c r="C402" s="1" t="str">
        <f aca="false">A402&amp;B402</f>
        <v>3200200200</v>
      </c>
      <c r="D402" s="13" t="n">
        <v>-4063.95</v>
      </c>
    </row>
    <row r="403" customFormat="false" ht="15.75" hidden="false" customHeight="true" outlineLevel="0" collapsed="false">
      <c r="A403" s="2" t="s">
        <v>69</v>
      </c>
      <c r="B403" s="2" t="s">
        <v>249</v>
      </c>
      <c r="C403" s="1" t="str">
        <f aca="false">A403&amp;B403</f>
        <v>3200200206</v>
      </c>
      <c r="D403" s="13" t="n">
        <v>2312.14</v>
      </c>
    </row>
    <row r="404" customFormat="false" ht="15.75" hidden="false" customHeight="true" outlineLevel="0" collapsed="false">
      <c r="A404" s="2" t="s">
        <v>69</v>
      </c>
      <c r="B404" s="2" t="s">
        <v>149</v>
      </c>
      <c r="C404" s="1" t="str">
        <f aca="false">A404&amp;B404</f>
        <v>3200200208</v>
      </c>
      <c r="D404" s="13" t="n">
        <v>-358001.81</v>
      </c>
    </row>
    <row r="405" customFormat="false" ht="15.75" hidden="false" customHeight="true" outlineLevel="0" collapsed="false">
      <c r="A405" s="2" t="s">
        <v>69</v>
      </c>
      <c r="B405" s="2" t="s">
        <v>150</v>
      </c>
      <c r="C405" s="1" t="str">
        <f aca="false">A405&amp;B405</f>
        <v>3200200302</v>
      </c>
      <c r="D405" s="13" t="n">
        <v>-4392714.73</v>
      </c>
    </row>
    <row r="406" customFormat="false" ht="15.75" hidden="false" customHeight="true" outlineLevel="0" collapsed="false">
      <c r="A406" s="2" t="s">
        <v>69</v>
      </c>
      <c r="B406" s="2" t="s">
        <v>151</v>
      </c>
      <c r="C406" s="1" t="str">
        <f aca="false">A406&amp;B406</f>
        <v>3200201000</v>
      </c>
      <c r="D406" s="13" t="n">
        <v>-120556</v>
      </c>
    </row>
    <row r="407" customFormat="false" ht="15.75" hidden="false" customHeight="true" outlineLevel="0" collapsed="false">
      <c r="A407" s="2" t="s">
        <v>69</v>
      </c>
      <c r="B407" s="2" t="s">
        <v>276</v>
      </c>
      <c r="C407" s="1" t="str">
        <f aca="false">A407&amp;B407</f>
        <v>3200201010</v>
      </c>
      <c r="D407" s="13" t="n">
        <v>-0.01</v>
      </c>
    </row>
    <row r="408" customFormat="false" ht="15.75" hidden="false" customHeight="true" outlineLevel="0" collapsed="false">
      <c r="A408" s="2" t="s">
        <v>69</v>
      </c>
      <c r="B408" s="2" t="s">
        <v>277</v>
      </c>
      <c r="C408" s="1" t="str">
        <f aca="false">A408&amp;B408</f>
        <v>3200201020</v>
      </c>
      <c r="D408" s="13" t="n">
        <v>-2376175</v>
      </c>
    </row>
    <row r="409" customFormat="false" ht="15.75" hidden="false" customHeight="true" outlineLevel="0" collapsed="false">
      <c r="A409" s="2" t="s">
        <v>69</v>
      </c>
      <c r="B409" s="2" t="s">
        <v>278</v>
      </c>
      <c r="C409" s="1" t="str">
        <f aca="false">A409&amp;B409</f>
        <v>3200201100</v>
      </c>
      <c r="D409" s="13" t="n">
        <v>0</v>
      </c>
    </row>
    <row r="410" customFormat="false" ht="15.75" hidden="false" customHeight="true" outlineLevel="0" collapsed="false">
      <c r="A410" s="2" t="s">
        <v>69</v>
      </c>
      <c r="B410" s="2" t="s">
        <v>279</v>
      </c>
      <c r="C410" s="1" t="str">
        <f aca="false">A410&amp;B410</f>
        <v>3200201202</v>
      </c>
      <c r="D410" s="13" t="n">
        <v>-4207649.19</v>
      </c>
    </row>
    <row r="411" customFormat="false" ht="15.75" hidden="false" customHeight="true" outlineLevel="0" collapsed="false">
      <c r="A411" s="2" t="s">
        <v>69</v>
      </c>
      <c r="B411" s="2" t="s">
        <v>153</v>
      </c>
      <c r="C411" s="1" t="str">
        <f aca="false">A411&amp;B411</f>
        <v>3200201203</v>
      </c>
      <c r="D411" s="13" t="n">
        <v>415128.74</v>
      </c>
    </row>
    <row r="412" customFormat="false" ht="15.75" hidden="false" customHeight="true" outlineLevel="0" collapsed="false">
      <c r="A412" s="2" t="s">
        <v>69</v>
      </c>
      <c r="B412" s="2" t="s">
        <v>154</v>
      </c>
      <c r="C412" s="1" t="str">
        <f aca="false">A412&amp;B412</f>
        <v>3200201300</v>
      </c>
      <c r="D412" s="13" t="n">
        <v>-681195.75</v>
      </c>
    </row>
    <row r="413" customFormat="false" ht="15.75" hidden="false" customHeight="true" outlineLevel="0" collapsed="false">
      <c r="A413" s="2" t="s">
        <v>69</v>
      </c>
      <c r="B413" s="2" t="s">
        <v>155</v>
      </c>
      <c r="C413" s="1" t="str">
        <f aca="false">A413&amp;B413</f>
        <v>3200201302</v>
      </c>
      <c r="D413" s="13" t="n">
        <v>-7927484.01</v>
      </c>
    </row>
    <row r="414" customFormat="false" ht="15.75" hidden="false" customHeight="true" outlineLevel="0" collapsed="false">
      <c r="A414" s="2" t="s">
        <v>69</v>
      </c>
      <c r="B414" s="2" t="s">
        <v>156</v>
      </c>
      <c r="C414" s="1" t="str">
        <f aca="false">A414&amp;B414</f>
        <v>3200201400</v>
      </c>
      <c r="D414" s="13" t="n">
        <v>-3821157.76</v>
      </c>
    </row>
    <row r="415" customFormat="false" ht="15.75" hidden="false" customHeight="true" outlineLevel="0" collapsed="false">
      <c r="A415" s="2" t="s">
        <v>69</v>
      </c>
      <c r="B415" s="2" t="s">
        <v>253</v>
      </c>
      <c r="C415" s="1" t="str">
        <f aca="false">A415&amp;B415</f>
        <v>3200201500</v>
      </c>
      <c r="D415" s="13" t="n">
        <v>-7466.56</v>
      </c>
    </row>
    <row r="416" customFormat="false" ht="15.75" hidden="false" customHeight="true" outlineLevel="0" collapsed="false">
      <c r="A416" s="2" t="s">
        <v>69</v>
      </c>
      <c r="B416" s="2" t="s">
        <v>280</v>
      </c>
      <c r="C416" s="1" t="str">
        <f aca="false">A416&amp;B416</f>
        <v>3200204010</v>
      </c>
      <c r="D416" s="13" t="n">
        <v>136.36</v>
      </c>
    </row>
    <row r="417" customFormat="false" ht="15.75" hidden="false" customHeight="true" outlineLevel="0" collapsed="false">
      <c r="A417" s="2" t="s">
        <v>69</v>
      </c>
      <c r="B417" s="2" t="s">
        <v>157</v>
      </c>
      <c r="C417" s="1" t="str">
        <f aca="false">A417&amp;B417</f>
        <v>3200204020</v>
      </c>
      <c r="D417" s="13" t="n">
        <v>-1863549.85</v>
      </c>
    </row>
    <row r="418" customFormat="false" ht="15.75" hidden="false" customHeight="true" outlineLevel="0" collapsed="false">
      <c r="A418" s="2" t="s">
        <v>69</v>
      </c>
      <c r="B418" s="2" t="s">
        <v>158</v>
      </c>
      <c r="C418" s="1" t="str">
        <f aca="false">A418&amp;B418</f>
        <v>3200210000</v>
      </c>
      <c r="D418" s="13" t="n">
        <v>-5719456.91</v>
      </c>
    </row>
    <row r="419" customFormat="false" ht="15.75" hidden="false" customHeight="true" outlineLevel="0" collapsed="false">
      <c r="A419" s="2" t="s">
        <v>69</v>
      </c>
      <c r="B419" s="2" t="s">
        <v>254</v>
      </c>
      <c r="C419" s="1" t="str">
        <f aca="false">A419&amp;B419</f>
        <v>3200210001</v>
      </c>
      <c r="D419" s="13" t="n">
        <v>-289755.9</v>
      </c>
    </row>
    <row r="420" customFormat="false" ht="15.75" hidden="false" customHeight="true" outlineLevel="0" collapsed="false">
      <c r="A420" s="2" t="s">
        <v>69</v>
      </c>
      <c r="B420" s="2" t="s">
        <v>159</v>
      </c>
      <c r="C420" s="1" t="str">
        <f aca="false">A420&amp;B420</f>
        <v>3200210002</v>
      </c>
      <c r="D420" s="13" t="n">
        <v>-13347317.56</v>
      </c>
    </row>
    <row r="421" customFormat="false" ht="15.75" hidden="false" customHeight="true" outlineLevel="0" collapsed="false">
      <c r="A421" s="2" t="s">
        <v>69</v>
      </c>
      <c r="B421" s="2" t="s">
        <v>281</v>
      </c>
      <c r="C421" s="1" t="str">
        <f aca="false">A421&amp;B421</f>
        <v>3200210200</v>
      </c>
      <c r="D421" s="13" t="n">
        <v>-4348468.08</v>
      </c>
    </row>
    <row r="422" customFormat="false" ht="15.75" hidden="false" customHeight="true" outlineLevel="0" collapsed="false">
      <c r="A422" s="2" t="s">
        <v>69</v>
      </c>
      <c r="B422" s="2" t="s">
        <v>282</v>
      </c>
      <c r="C422" s="1" t="str">
        <f aca="false">A422&amp;B422</f>
        <v>3200210201</v>
      </c>
      <c r="D422" s="13" t="n">
        <v>852739.72</v>
      </c>
    </row>
    <row r="423" customFormat="false" ht="15.75" hidden="false" customHeight="true" outlineLevel="0" collapsed="false">
      <c r="A423" s="2" t="s">
        <v>69</v>
      </c>
      <c r="B423" s="2" t="s">
        <v>160</v>
      </c>
      <c r="C423" s="1" t="str">
        <f aca="false">A423&amp;B423</f>
        <v>3200220001</v>
      </c>
      <c r="D423" s="13" t="n">
        <v>-118548.55</v>
      </c>
    </row>
    <row r="424" customFormat="false" ht="15.75" hidden="false" customHeight="true" outlineLevel="0" collapsed="false">
      <c r="A424" s="2" t="s">
        <v>69</v>
      </c>
      <c r="B424" s="2" t="s">
        <v>283</v>
      </c>
      <c r="C424" s="1" t="str">
        <f aca="false">A424&amp;B424</f>
        <v>3200241100</v>
      </c>
      <c r="D424" s="13" t="n">
        <v>-58375.85</v>
      </c>
    </row>
    <row r="425" customFormat="false" ht="15.75" hidden="false" customHeight="true" outlineLevel="0" collapsed="false">
      <c r="A425" s="2" t="s">
        <v>69</v>
      </c>
      <c r="B425" s="2" t="s">
        <v>123</v>
      </c>
      <c r="C425" s="1" t="str">
        <f aca="false">A425&amp;B425</f>
        <v>3200243000</v>
      </c>
      <c r="D425" s="13" t="n">
        <v>-805518873.86</v>
      </c>
    </row>
    <row r="426" customFormat="false" ht="15.75" hidden="false" customHeight="true" outlineLevel="0" collapsed="false">
      <c r="A426" s="2" t="s">
        <v>69</v>
      </c>
      <c r="B426" s="2" t="s">
        <v>124</v>
      </c>
      <c r="C426" s="1" t="str">
        <f aca="false">A426&amp;B426</f>
        <v>3200243003</v>
      </c>
      <c r="D426" s="13" t="n">
        <v>2251640457.12</v>
      </c>
    </row>
    <row r="427" customFormat="false" ht="15.75" hidden="false" customHeight="true" outlineLevel="0" collapsed="false">
      <c r="A427" s="2" t="s">
        <v>69</v>
      </c>
      <c r="B427" s="2" t="s">
        <v>194</v>
      </c>
      <c r="C427" s="1" t="str">
        <f aca="false">A427&amp;B427</f>
        <v>3200243004</v>
      </c>
      <c r="D427" s="13" t="n">
        <v>-1822461557.95</v>
      </c>
    </row>
    <row r="428" customFormat="false" ht="15.75" hidden="false" customHeight="true" outlineLevel="0" collapsed="false">
      <c r="A428" s="2" t="s">
        <v>69</v>
      </c>
      <c r="B428" s="2" t="s">
        <v>125</v>
      </c>
      <c r="C428" s="1" t="str">
        <f aca="false">A428&amp;B428</f>
        <v>3200243005</v>
      </c>
      <c r="D428" s="13" t="n">
        <v>24030823</v>
      </c>
    </row>
    <row r="429" customFormat="false" ht="15.75" hidden="false" customHeight="true" outlineLevel="0" collapsed="false">
      <c r="A429" s="2" t="s">
        <v>69</v>
      </c>
      <c r="B429" s="2" t="s">
        <v>161</v>
      </c>
      <c r="C429" s="1" t="str">
        <f aca="false">A429&amp;B429</f>
        <v>3200243006</v>
      </c>
      <c r="D429" s="13" t="n">
        <v>0</v>
      </c>
    </row>
    <row r="430" customFormat="false" ht="15.75" hidden="false" customHeight="true" outlineLevel="0" collapsed="false">
      <c r="A430" s="2" t="s">
        <v>69</v>
      </c>
      <c r="B430" s="2" t="s">
        <v>162</v>
      </c>
      <c r="C430" s="1" t="str">
        <f aca="false">A430&amp;B430</f>
        <v>3200250000</v>
      </c>
      <c r="D430" s="13" t="n">
        <v>-808615.61</v>
      </c>
    </row>
    <row r="431" customFormat="false" ht="15.75" hidden="false" customHeight="true" outlineLevel="0" collapsed="false">
      <c r="A431" s="2" t="s">
        <v>69</v>
      </c>
      <c r="B431" s="2" t="s">
        <v>163</v>
      </c>
      <c r="C431" s="1" t="str">
        <f aca="false">A431&amp;B431</f>
        <v>3200250100</v>
      </c>
      <c r="D431" s="13" t="n">
        <v>-283709753.31</v>
      </c>
    </row>
    <row r="432" customFormat="false" ht="15.75" hidden="false" customHeight="true" outlineLevel="0" collapsed="false">
      <c r="A432" s="2" t="s">
        <v>69</v>
      </c>
      <c r="B432" s="2" t="s">
        <v>164</v>
      </c>
      <c r="C432" s="1" t="str">
        <f aca="false">A432&amp;B432</f>
        <v>3200260003</v>
      </c>
      <c r="D432" s="13" t="n">
        <v>-3739935.57</v>
      </c>
    </row>
    <row r="433" customFormat="false" ht="15.75" hidden="false" customHeight="true" outlineLevel="0" collapsed="false">
      <c r="A433" s="2" t="s">
        <v>69</v>
      </c>
      <c r="B433" s="2" t="s">
        <v>165</v>
      </c>
      <c r="C433" s="1" t="str">
        <f aca="false">A433&amp;B433</f>
        <v>3200280000</v>
      </c>
      <c r="D433" s="13" t="n">
        <v>26316091</v>
      </c>
    </row>
    <row r="434" customFormat="false" ht="15.75" hidden="false" customHeight="true" outlineLevel="0" collapsed="false">
      <c r="A434" s="2" t="s">
        <v>69</v>
      </c>
      <c r="B434" s="2" t="s">
        <v>222</v>
      </c>
      <c r="C434" s="1" t="str">
        <f aca="false">A434&amp;B434</f>
        <v>3200310001</v>
      </c>
      <c r="D434" s="13" t="n">
        <v>0</v>
      </c>
    </row>
    <row r="435" customFormat="false" ht="15.75" hidden="false" customHeight="true" outlineLevel="0" collapsed="false">
      <c r="A435" s="2" t="s">
        <v>69</v>
      </c>
      <c r="B435" s="2" t="s">
        <v>198</v>
      </c>
      <c r="C435" s="1" t="str">
        <f aca="false">A435&amp;B435</f>
        <v>3200310002</v>
      </c>
      <c r="D435" s="13" t="n">
        <v>0.35</v>
      </c>
    </row>
    <row r="436" customFormat="false" ht="15.75" hidden="false" customHeight="true" outlineLevel="0" collapsed="false">
      <c r="A436" s="2" t="s">
        <v>69</v>
      </c>
      <c r="B436" s="2" t="s">
        <v>127</v>
      </c>
      <c r="C436" s="1" t="str">
        <f aca="false">A436&amp;B436</f>
        <v>3200320000</v>
      </c>
      <c r="D436" s="13" t="n">
        <v>-48685317.88</v>
      </c>
    </row>
    <row r="437" customFormat="false" ht="15.75" hidden="false" customHeight="true" outlineLevel="0" collapsed="false">
      <c r="A437" s="2" t="s">
        <v>69</v>
      </c>
      <c r="B437" s="2" t="s">
        <v>284</v>
      </c>
      <c r="C437" s="1" t="str">
        <f aca="false">A437&amp;B437</f>
        <v>3200320001</v>
      </c>
      <c r="D437" s="13" t="n">
        <v>-14563000</v>
      </c>
    </row>
    <row r="438" customFormat="false" ht="15.75" hidden="false" customHeight="true" outlineLevel="0" collapsed="false">
      <c r="A438" s="2" t="s">
        <v>69</v>
      </c>
      <c r="B438" s="2" t="s">
        <v>200</v>
      </c>
      <c r="C438" s="1" t="str">
        <f aca="false">A438&amp;B438</f>
        <v>3200320002</v>
      </c>
      <c r="D438" s="13" t="n">
        <v>4766100</v>
      </c>
    </row>
    <row r="439" customFormat="false" ht="15.75" hidden="false" customHeight="true" outlineLevel="0" collapsed="false">
      <c r="A439" s="2" t="s">
        <v>69</v>
      </c>
      <c r="B439" s="2" t="s">
        <v>285</v>
      </c>
      <c r="C439" s="1" t="str">
        <f aca="false">A439&amp;B439</f>
        <v>3200501000</v>
      </c>
      <c r="D439" s="13" t="n">
        <v>-22966975.96</v>
      </c>
    </row>
    <row r="440" customFormat="false" ht="15.75" hidden="false" customHeight="true" outlineLevel="0" collapsed="false">
      <c r="A440" s="2" t="s">
        <v>69</v>
      </c>
      <c r="B440" s="2" t="s">
        <v>286</v>
      </c>
      <c r="C440" s="1" t="str">
        <f aca="false">A440&amp;B440</f>
        <v>3200501050</v>
      </c>
      <c r="D440" s="13" t="n">
        <v>-73023.96</v>
      </c>
    </row>
    <row r="441" customFormat="false" ht="15.75" hidden="false" customHeight="true" outlineLevel="0" collapsed="false">
      <c r="A441" s="2" t="s">
        <v>69</v>
      </c>
      <c r="B441" s="2" t="s">
        <v>166</v>
      </c>
      <c r="C441" s="1" t="str">
        <f aca="false">A441&amp;B441</f>
        <v>3200501200</v>
      </c>
      <c r="D441" s="13" t="n">
        <v>-707970433.99</v>
      </c>
    </row>
    <row r="442" customFormat="false" ht="15.75" hidden="false" customHeight="true" outlineLevel="0" collapsed="false">
      <c r="A442" s="2" t="s">
        <v>69</v>
      </c>
      <c r="B442" s="2" t="s">
        <v>167</v>
      </c>
      <c r="C442" s="1" t="str">
        <f aca="false">A442&amp;B442</f>
        <v>3200501202</v>
      </c>
      <c r="D442" s="13" t="n">
        <v>1637637.74</v>
      </c>
    </row>
    <row r="443" customFormat="false" ht="15.75" hidden="false" customHeight="true" outlineLevel="0" collapsed="false">
      <c r="A443" s="2" t="s">
        <v>69</v>
      </c>
      <c r="B443" s="2" t="s">
        <v>287</v>
      </c>
      <c r="C443" s="1" t="str">
        <f aca="false">A443&amp;B443</f>
        <v>3200512000</v>
      </c>
      <c r="D443" s="13" t="n">
        <v>-24000</v>
      </c>
    </row>
    <row r="444" customFormat="false" ht="15.75" hidden="false" customHeight="true" outlineLevel="0" collapsed="false">
      <c r="A444" s="2" t="s">
        <v>69</v>
      </c>
      <c r="B444" s="2" t="s">
        <v>288</v>
      </c>
      <c r="C444" s="1" t="str">
        <f aca="false">A444&amp;B444</f>
        <v>3200514000</v>
      </c>
      <c r="D444" s="13" t="n">
        <v>-139621.17</v>
      </c>
    </row>
    <row r="445" customFormat="false" ht="15.75" hidden="false" customHeight="true" outlineLevel="0" collapsed="false">
      <c r="A445" s="2" t="s">
        <v>69</v>
      </c>
      <c r="B445" s="2" t="s">
        <v>168</v>
      </c>
      <c r="C445" s="1" t="str">
        <f aca="false">A445&amp;B445</f>
        <v>3200514001</v>
      </c>
      <c r="D445" s="13" t="n">
        <v>-46209.76</v>
      </c>
    </row>
    <row r="446" customFormat="false" ht="15.75" hidden="false" customHeight="true" outlineLevel="0" collapsed="false">
      <c r="A446" s="2" t="s">
        <v>69</v>
      </c>
      <c r="B446" s="2" t="s">
        <v>289</v>
      </c>
      <c r="C446" s="1" t="str">
        <f aca="false">A446&amp;B446</f>
        <v>3200601100</v>
      </c>
      <c r="D446" s="13" t="n">
        <v>38699353.88</v>
      </c>
    </row>
    <row r="447" customFormat="false" ht="15.75" hidden="false" customHeight="true" outlineLevel="0" collapsed="false">
      <c r="A447" s="2" t="s">
        <v>69</v>
      </c>
      <c r="B447" s="2" t="s">
        <v>290</v>
      </c>
      <c r="C447" s="1" t="str">
        <f aca="false">A447&amp;B447</f>
        <v>3200601105</v>
      </c>
      <c r="D447" s="13" t="n">
        <v>112035.03</v>
      </c>
    </row>
    <row r="448" customFormat="false" ht="15.75" hidden="false" customHeight="true" outlineLevel="0" collapsed="false">
      <c r="A448" s="2" t="s">
        <v>69</v>
      </c>
      <c r="B448" s="2" t="s">
        <v>169</v>
      </c>
      <c r="C448" s="1" t="str">
        <f aca="false">A448&amp;B448</f>
        <v>3200601107</v>
      </c>
      <c r="D448" s="13" t="n">
        <v>699723.2</v>
      </c>
    </row>
    <row r="449" customFormat="false" ht="15.75" hidden="false" customHeight="true" outlineLevel="0" collapsed="false">
      <c r="A449" s="2" t="s">
        <v>69</v>
      </c>
      <c r="B449" s="2" t="s">
        <v>170</v>
      </c>
      <c r="C449" s="1" t="str">
        <f aca="false">A449&amp;B449</f>
        <v>3200601111</v>
      </c>
      <c r="D449" s="13" t="n">
        <v>732353.48</v>
      </c>
    </row>
    <row r="450" customFormat="false" ht="15.75" hidden="false" customHeight="true" outlineLevel="0" collapsed="false">
      <c r="A450" s="2" t="s">
        <v>69</v>
      </c>
      <c r="B450" s="2" t="s">
        <v>8</v>
      </c>
      <c r="C450" s="1" t="str">
        <f aca="false">A450&amp;B450</f>
        <v>3200602000</v>
      </c>
      <c r="D450" s="13" t="n">
        <v>9699700.04</v>
      </c>
    </row>
    <row r="451" customFormat="false" ht="15.75" hidden="false" customHeight="true" outlineLevel="0" collapsed="false">
      <c r="A451" s="2" t="s">
        <v>69</v>
      </c>
      <c r="B451" s="2" t="s">
        <v>70</v>
      </c>
      <c r="C451" s="1" t="str">
        <f aca="false">A451&amp;B451</f>
        <v>3200602001</v>
      </c>
      <c r="D451" s="13" t="n">
        <v>2076831.5</v>
      </c>
    </row>
    <row r="452" customFormat="false" ht="15.75" hidden="false" customHeight="true" outlineLevel="0" collapsed="false">
      <c r="A452" s="2" t="s">
        <v>69</v>
      </c>
      <c r="B452" s="2" t="s">
        <v>41</v>
      </c>
      <c r="C452" s="1" t="str">
        <f aca="false">A452&amp;B452</f>
        <v>3200602002</v>
      </c>
      <c r="D452" s="13" t="n">
        <v>-707823.3</v>
      </c>
    </row>
    <row r="453" customFormat="false" ht="15.75" hidden="false" customHeight="true" outlineLevel="0" collapsed="false">
      <c r="A453" s="2" t="s">
        <v>69</v>
      </c>
      <c r="B453" s="2" t="s">
        <v>9</v>
      </c>
      <c r="C453" s="1" t="str">
        <f aca="false">A453&amp;B453</f>
        <v>3200602003</v>
      </c>
      <c r="D453" s="13" t="n">
        <v>5943702.99</v>
      </c>
    </row>
    <row r="454" customFormat="false" ht="15.75" hidden="false" customHeight="true" outlineLevel="0" collapsed="false">
      <c r="A454" s="2" t="s">
        <v>69</v>
      </c>
      <c r="B454" s="2" t="s">
        <v>10</v>
      </c>
      <c r="C454" s="1" t="str">
        <f aca="false">A454&amp;B454</f>
        <v>3200602004</v>
      </c>
      <c r="D454" s="13" t="n">
        <v>838473.23</v>
      </c>
    </row>
    <row r="455" customFormat="false" ht="15.75" hidden="false" customHeight="true" outlineLevel="0" collapsed="false">
      <c r="A455" s="2" t="s">
        <v>69</v>
      </c>
      <c r="B455" s="2" t="s">
        <v>11</v>
      </c>
      <c r="C455" s="1" t="str">
        <f aca="false">A455&amp;B455</f>
        <v>3200602005</v>
      </c>
      <c r="D455" s="13" t="n">
        <v>54303.61</v>
      </c>
    </row>
    <row r="456" customFormat="false" ht="15.75" hidden="false" customHeight="true" outlineLevel="0" collapsed="false">
      <c r="A456" s="2" t="s">
        <v>69</v>
      </c>
      <c r="B456" s="2" t="s">
        <v>12</v>
      </c>
      <c r="C456" s="1" t="str">
        <f aca="false">A456&amp;B456</f>
        <v>3200602010</v>
      </c>
      <c r="D456" s="13" t="n">
        <v>2101816.1</v>
      </c>
    </row>
    <row r="457" customFormat="false" ht="15.75" hidden="false" customHeight="true" outlineLevel="0" collapsed="false">
      <c r="A457" s="2" t="s">
        <v>69</v>
      </c>
      <c r="B457" s="2" t="s">
        <v>13</v>
      </c>
      <c r="C457" s="1" t="str">
        <f aca="false">A457&amp;B457</f>
        <v>3200602020</v>
      </c>
      <c r="D457" s="13" t="n">
        <v>668559.77</v>
      </c>
    </row>
    <row r="458" customFormat="false" ht="15.75" hidden="false" customHeight="true" outlineLevel="0" collapsed="false">
      <c r="A458" s="2" t="s">
        <v>69</v>
      </c>
      <c r="B458" s="2" t="s">
        <v>14</v>
      </c>
      <c r="C458" s="1" t="str">
        <f aca="false">A458&amp;B458</f>
        <v>3200602030</v>
      </c>
      <c r="D458" s="13" t="n">
        <v>140861.84</v>
      </c>
    </row>
    <row r="459" customFormat="false" ht="15.75" hidden="false" customHeight="true" outlineLevel="0" collapsed="false">
      <c r="A459" s="2" t="s">
        <v>69</v>
      </c>
      <c r="B459" s="2" t="s">
        <v>42</v>
      </c>
      <c r="C459" s="1" t="str">
        <f aca="false">A459&amp;B459</f>
        <v>3200602040</v>
      </c>
      <c r="D459" s="13" t="n">
        <v>26072.52</v>
      </c>
    </row>
    <row r="460" customFormat="false" ht="15.75" hidden="false" customHeight="true" outlineLevel="0" collapsed="false">
      <c r="A460" s="2" t="s">
        <v>69</v>
      </c>
      <c r="B460" s="2" t="s">
        <v>43</v>
      </c>
      <c r="C460" s="1" t="str">
        <f aca="false">A460&amp;B460</f>
        <v>3200602050</v>
      </c>
      <c r="D460" s="13" t="n">
        <v>47870.22</v>
      </c>
    </row>
    <row r="461" customFormat="false" ht="15.75" hidden="false" customHeight="true" outlineLevel="0" collapsed="false">
      <c r="A461" s="2" t="s">
        <v>69</v>
      </c>
      <c r="B461" s="2" t="s">
        <v>44</v>
      </c>
      <c r="C461" s="1" t="str">
        <f aca="false">A461&amp;B461</f>
        <v>3200602060</v>
      </c>
      <c r="D461" s="13" t="n">
        <v>5811.31</v>
      </c>
    </row>
    <row r="462" customFormat="false" ht="15.75" hidden="false" customHeight="true" outlineLevel="0" collapsed="false">
      <c r="A462" s="2" t="s">
        <v>69</v>
      </c>
      <c r="B462" s="2" t="s">
        <v>15</v>
      </c>
      <c r="C462" s="1" t="str">
        <f aca="false">A462&amp;B462</f>
        <v>3200602070</v>
      </c>
      <c r="D462" s="13" t="n">
        <v>154467.47</v>
      </c>
    </row>
    <row r="463" customFormat="false" ht="15.75" hidden="false" customHeight="true" outlineLevel="0" collapsed="false">
      <c r="A463" s="2" t="s">
        <v>69</v>
      </c>
      <c r="B463" s="2" t="s">
        <v>45</v>
      </c>
      <c r="C463" s="1" t="str">
        <f aca="false">A463&amp;B463</f>
        <v>3200602071</v>
      </c>
      <c r="D463" s="13" t="n">
        <v>15486.72</v>
      </c>
    </row>
    <row r="464" customFormat="false" ht="15.75" hidden="false" customHeight="true" outlineLevel="0" collapsed="false">
      <c r="A464" s="2" t="s">
        <v>69</v>
      </c>
      <c r="B464" s="2" t="s">
        <v>16</v>
      </c>
      <c r="C464" s="1" t="str">
        <f aca="false">A464&amp;B464</f>
        <v>3200602072</v>
      </c>
      <c r="D464" s="13" t="n">
        <v>1743841.98</v>
      </c>
    </row>
    <row r="465" customFormat="false" ht="15.75" hidden="false" customHeight="true" outlineLevel="0" collapsed="false">
      <c r="A465" s="2" t="s">
        <v>69</v>
      </c>
      <c r="B465" s="2" t="s">
        <v>46</v>
      </c>
      <c r="C465" s="1" t="str">
        <f aca="false">A465&amp;B465</f>
        <v>3200602073</v>
      </c>
      <c r="D465" s="13" t="n">
        <v>-12782.35</v>
      </c>
    </row>
    <row r="466" customFormat="false" ht="15.75" hidden="false" customHeight="true" outlineLevel="0" collapsed="false">
      <c r="A466" s="2" t="s">
        <v>69</v>
      </c>
      <c r="B466" s="2" t="s">
        <v>48</v>
      </c>
      <c r="C466" s="1" t="str">
        <f aca="false">A466&amp;B466</f>
        <v>3200602080</v>
      </c>
      <c r="D466" s="13" t="n">
        <v>197157.3</v>
      </c>
    </row>
    <row r="467" customFormat="false" ht="15.75" hidden="false" customHeight="true" outlineLevel="0" collapsed="false">
      <c r="A467" s="2" t="s">
        <v>69</v>
      </c>
      <c r="B467" s="2" t="s">
        <v>17</v>
      </c>
      <c r="C467" s="1" t="str">
        <f aca="false">A467&amp;B467</f>
        <v>3200603000</v>
      </c>
      <c r="D467" s="13" t="n">
        <v>1950536.79</v>
      </c>
    </row>
    <row r="468" customFormat="false" ht="15.75" hidden="false" customHeight="true" outlineLevel="0" collapsed="false">
      <c r="A468" s="2" t="s">
        <v>69</v>
      </c>
      <c r="B468" s="2" t="s">
        <v>71</v>
      </c>
      <c r="C468" s="1" t="str">
        <f aca="false">A468&amp;B468</f>
        <v>3200603001</v>
      </c>
      <c r="D468" s="13" t="n">
        <v>882274.86</v>
      </c>
    </row>
    <row r="469" customFormat="false" ht="15.75" hidden="false" customHeight="true" outlineLevel="0" collapsed="false">
      <c r="A469" s="2" t="s">
        <v>69</v>
      </c>
      <c r="B469" s="2" t="s">
        <v>22</v>
      </c>
      <c r="C469" s="1" t="str">
        <f aca="false">A469&amp;B469</f>
        <v>3200604010</v>
      </c>
      <c r="D469" s="13" t="n">
        <v>118025</v>
      </c>
    </row>
    <row r="470" customFormat="false" ht="15.75" hidden="false" customHeight="true" outlineLevel="0" collapsed="false">
      <c r="A470" s="2" t="s">
        <v>69</v>
      </c>
      <c r="B470" s="2" t="s">
        <v>74</v>
      </c>
      <c r="C470" s="1" t="str">
        <f aca="false">A470&amp;B470</f>
        <v>3200604030</v>
      </c>
      <c r="D470" s="13" t="n">
        <v>24947178.17</v>
      </c>
    </row>
    <row r="471" customFormat="false" ht="15.75" hidden="false" customHeight="true" outlineLevel="0" collapsed="false">
      <c r="A471" s="2" t="s">
        <v>69</v>
      </c>
      <c r="B471" s="2" t="s">
        <v>33</v>
      </c>
      <c r="C471" s="1" t="str">
        <f aca="false">A471&amp;B471</f>
        <v>3200604031</v>
      </c>
      <c r="D471" s="13" t="n">
        <v>37880823.85</v>
      </c>
    </row>
    <row r="472" customFormat="false" ht="15.75" hidden="false" customHeight="true" outlineLevel="0" collapsed="false">
      <c r="A472" s="2" t="s">
        <v>69</v>
      </c>
      <c r="B472" s="2" t="s">
        <v>19</v>
      </c>
      <c r="C472" s="1" t="str">
        <f aca="false">A472&amp;B472</f>
        <v>3200604040</v>
      </c>
      <c r="D472" s="13" t="n">
        <v>4772</v>
      </c>
    </row>
    <row r="473" customFormat="false" ht="15.75" hidden="false" customHeight="true" outlineLevel="0" collapsed="false">
      <c r="A473" s="2" t="s">
        <v>69</v>
      </c>
      <c r="B473" s="2" t="s">
        <v>174</v>
      </c>
      <c r="C473" s="1" t="str">
        <f aca="false">A473&amp;B473</f>
        <v>3200604900</v>
      </c>
      <c r="D473" s="13" t="n">
        <v>37994313.47</v>
      </c>
    </row>
    <row r="474" customFormat="false" ht="15.75" hidden="false" customHeight="true" outlineLevel="0" collapsed="false">
      <c r="A474" s="2" t="s">
        <v>69</v>
      </c>
      <c r="B474" s="2" t="s">
        <v>31</v>
      </c>
      <c r="C474" s="1" t="str">
        <f aca="false">A474&amp;B474</f>
        <v>3200607000</v>
      </c>
      <c r="D474" s="13" t="n">
        <v>14059356.73</v>
      </c>
    </row>
    <row r="475" customFormat="false" ht="15.75" hidden="false" customHeight="true" outlineLevel="0" collapsed="false">
      <c r="A475" s="2" t="s">
        <v>69</v>
      </c>
      <c r="B475" s="2" t="s">
        <v>32</v>
      </c>
      <c r="C475" s="1" t="str">
        <f aca="false">A475&amp;B475</f>
        <v>3200607010</v>
      </c>
      <c r="D475" s="13" t="n">
        <v>3540.56</v>
      </c>
    </row>
    <row r="476" customFormat="false" ht="15.75" hidden="false" customHeight="true" outlineLevel="0" collapsed="false">
      <c r="A476" s="2" t="s">
        <v>69</v>
      </c>
      <c r="B476" s="2" t="s">
        <v>73</v>
      </c>
      <c r="C476" s="1" t="str">
        <f aca="false">A476&amp;B476</f>
        <v>3200607020</v>
      </c>
      <c r="D476" s="13" t="n">
        <v>16773530.08</v>
      </c>
    </row>
    <row r="477" customFormat="false" ht="15.75" hidden="false" customHeight="true" outlineLevel="0" collapsed="false">
      <c r="A477" s="2" t="s">
        <v>69</v>
      </c>
      <c r="B477" s="2" t="s">
        <v>75</v>
      </c>
      <c r="C477" s="1" t="str">
        <f aca="false">A477&amp;B477</f>
        <v>3200607040</v>
      </c>
      <c r="D477" s="13" t="n">
        <v>-50956.69</v>
      </c>
    </row>
    <row r="478" customFormat="false" ht="15.75" hidden="false" customHeight="true" outlineLevel="0" collapsed="false">
      <c r="A478" s="2" t="s">
        <v>69</v>
      </c>
      <c r="B478" s="2" t="s">
        <v>61</v>
      </c>
      <c r="C478" s="1" t="str">
        <f aca="false">A478&amp;B478</f>
        <v>3200608000</v>
      </c>
      <c r="D478" s="13" t="n">
        <v>6589.18</v>
      </c>
    </row>
    <row r="479" customFormat="false" ht="15.75" hidden="false" customHeight="true" outlineLevel="0" collapsed="false">
      <c r="A479" s="2" t="s">
        <v>69</v>
      </c>
      <c r="B479" s="2" t="s">
        <v>59</v>
      </c>
      <c r="C479" s="1" t="str">
        <f aca="false">A479&amp;B479</f>
        <v>3200608010</v>
      </c>
      <c r="D479" s="13" t="n">
        <v>20</v>
      </c>
    </row>
    <row r="480" customFormat="false" ht="15.75" hidden="false" customHeight="true" outlineLevel="0" collapsed="false">
      <c r="A480" s="2" t="s">
        <v>69</v>
      </c>
      <c r="B480" s="2" t="s">
        <v>63</v>
      </c>
      <c r="C480" s="1" t="str">
        <f aca="false">A480&amp;B480</f>
        <v>3200609000</v>
      </c>
      <c r="D480" s="13" t="n">
        <v>9999.09</v>
      </c>
    </row>
    <row r="481" customFormat="false" ht="15.75" hidden="false" customHeight="true" outlineLevel="0" collapsed="false">
      <c r="A481" s="2" t="s">
        <v>69</v>
      </c>
      <c r="B481" s="2" t="s">
        <v>72</v>
      </c>
      <c r="C481" s="1" t="str">
        <f aca="false">A481&amp;B481</f>
        <v>3200609001</v>
      </c>
      <c r="D481" s="13" t="n">
        <v>1015</v>
      </c>
    </row>
    <row r="482" customFormat="false" ht="15.75" hidden="false" customHeight="true" outlineLevel="0" collapsed="false">
      <c r="A482" s="2" t="s">
        <v>69</v>
      </c>
      <c r="B482" s="2" t="s">
        <v>27</v>
      </c>
      <c r="C482" s="1" t="str">
        <f aca="false">A482&amp;B482</f>
        <v>3200609002</v>
      </c>
      <c r="D482" s="13" t="n">
        <v>53325.41</v>
      </c>
    </row>
    <row r="483" customFormat="false" ht="15.75" hidden="false" customHeight="true" outlineLevel="0" collapsed="false">
      <c r="A483" s="2" t="s">
        <v>69</v>
      </c>
      <c r="B483" s="2" t="s">
        <v>28</v>
      </c>
      <c r="C483" s="1" t="str">
        <f aca="false">A483&amp;B483</f>
        <v>3200609003</v>
      </c>
      <c r="D483" s="13" t="n">
        <v>281283.45</v>
      </c>
    </row>
    <row r="484" customFormat="false" ht="15.75" hidden="false" customHeight="true" outlineLevel="0" collapsed="false">
      <c r="A484" s="2" t="s">
        <v>69</v>
      </c>
      <c r="B484" s="2" t="s">
        <v>24</v>
      </c>
      <c r="C484" s="1" t="str">
        <f aca="false">A484&amp;B484</f>
        <v>3200609004</v>
      </c>
      <c r="D484" s="13" t="n">
        <v>110405.93</v>
      </c>
    </row>
    <row r="485" customFormat="false" ht="15.75" hidden="false" customHeight="true" outlineLevel="0" collapsed="false">
      <c r="A485" s="2" t="s">
        <v>69</v>
      </c>
      <c r="B485" s="2" t="s">
        <v>25</v>
      </c>
      <c r="C485" s="1" t="str">
        <f aca="false">A485&amp;B485</f>
        <v>3200609005</v>
      </c>
      <c r="D485" s="13" t="n">
        <v>104</v>
      </c>
    </row>
    <row r="486" customFormat="false" ht="15.75" hidden="false" customHeight="true" outlineLevel="0" collapsed="false">
      <c r="A486" s="2" t="s">
        <v>69</v>
      </c>
      <c r="B486" s="2" t="s">
        <v>26</v>
      </c>
      <c r="C486" s="1" t="str">
        <f aca="false">A486&amp;B486</f>
        <v>3200609006</v>
      </c>
      <c r="D486" s="13" t="n">
        <v>2754297.21</v>
      </c>
    </row>
    <row r="487" customFormat="false" ht="15.75" hidden="false" customHeight="true" outlineLevel="0" collapsed="false">
      <c r="A487" s="2" t="s">
        <v>69</v>
      </c>
      <c r="B487" s="2" t="s">
        <v>37</v>
      </c>
      <c r="C487" s="1" t="str">
        <f aca="false">A487&amp;B487</f>
        <v>3200609008</v>
      </c>
      <c r="D487" s="13" t="n">
        <v>156.69</v>
      </c>
    </row>
    <row r="488" customFormat="false" ht="15.75" hidden="false" customHeight="true" outlineLevel="0" collapsed="false">
      <c r="A488" s="2" t="s">
        <v>69</v>
      </c>
      <c r="B488" s="2" t="s">
        <v>29</v>
      </c>
      <c r="C488" s="1" t="str">
        <f aca="false">A488&amp;B488</f>
        <v>3200609009</v>
      </c>
      <c r="D488" s="13" t="n">
        <v>15095.63</v>
      </c>
    </row>
    <row r="489" customFormat="false" ht="15.75" hidden="false" customHeight="true" outlineLevel="0" collapsed="false">
      <c r="A489" s="2" t="s">
        <v>69</v>
      </c>
      <c r="B489" s="2" t="s">
        <v>30</v>
      </c>
      <c r="C489" s="1" t="str">
        <f aca="false">A489&amp;B489</f>
        <v>3200609010</v>
      </c>
      <c r="D489" s="13" t="n">
        <v>54435.06</v>
      </c>
    </row>
    <row r="490" customFormat="false" ht="15.75" hidden="false" customHeight="true" outlineLevel="0" collapsed="false">
      <c r="A490" s="2" t="s">
        <v>69</v>
      </c>
      <c r="B490" s="2" t="s">
        <v>39</v>
      </c>
      <c r="C490" s="1" t="str">
        <f aca="false">A490&amp;B490</f>
        <v>3200609012</v>
      </c>
      <c r="D490" s="13" t="n">
        <v>-38.45</v>
      </c>
    </row>
    <row r="491" customFormat="false" ht="15.75" hidden="false" customHeight="true" outlineLevel="0" collapsed="false">
      <c r="A491" s="2" t="s">
        <v>69</v>
      </c>
      <c r="B491" s="2" t="s">
        <v>175</v>
      </c>
      <c r="C491" s="1" t="str">
        <f aca="false">A491&amp;B491</f>
        <v>3200630000</v>
      </c>
      <c r="D491" s="13" t="n">
        <v>175402.92</v>
      </c>
    </row>
    <row r="492" customFormat="false" ht="15.75" hidden="false" customHeight="true" outlineLevel="0" collapsed="false">
      <c r="A492" s="2" t="s">
        <v>69</v>
      </c>
      <c r="B492" s="2" t="s">
        <v>176</v>
      </c>
      <c r="C492" s="1" t="str">
        <f aca="false">A492&amp;B492</f>
        <v>3200630001</v>
      </c>
      <c r="D492" s="13" t="n">
        <v>65879983.33</v>
      </c>
    </row>
    <row r="493" customFormat="false" ht="15.75" hidden="false" customHeight="true" outlineLevel="0" collapsed="false">
      <c r="A493" s="2" t="s">
        <v>69</v>
      </c>
      <c r="B493" s="2" t="s">
        <v>177</v>
      </c>
      <c r="C493" s="1" t="str">
        <f aca="false">A493&amp;B493</f>
        <v>3200630002</v>
      </c>
      <c r="D493" s="13" t="n">
        <v>197385.47</v>
      </c>
    </row>
    <row r="494" customFormat="false" ht="15.75" hidden="false" customHeight="true" outlineLevel="0" collapsed="false">
      <c r="A494" s="2" t="s">
        <v>69</v>
      </c>
      <c r="B494" s="2" t="s">
        <v>291</v>
      </c>
      <c r="C494" s="1" t="str">
        <f aca="false">A494&amp;B494</f>
        <v>3200630003</v>
      </c>
      <c r="D494" s="13" t="n">
        <v>3743104.59</v>
      </c>
    </row>
    <row r="495" customFormat="false" ht="15.75" hidden="false" customHeight="true" outlineLevel="0" collapsed="false">
      <c r="A495" s="2" t="s">
        <v>69</v>
      </c>
      <c r="B495" s="2" t="s">
        <v>292</v>
      </c>
      <c r="C495" s="1" t="str">
        <f aca="false">A495&amp;B495</f>
        <v>3200630005</v>
      </c>
      <c r="D495" s="13" t="n">
        <v>19777.41</v>
      </c>
    </row>
    <row r="496" customFormat="false" ht="15.75" hidden="false" customHeight="true" outlineLevel="0" collapsed="false">
      <c r="A496" s="2" t="s">
        <v>69</v>
      </c>
      <c r="B496" s="2" t="s">
        <v>178</v>
      </c>
      <c r="C496" s="1" t="str">
        <f aca="false">A496&amp;B496</f>
        <v>3200630006</v>
      </c>
      <c r="D496" s="13" t="n">
        <v>41572.03</v>
      </c>
    </row>
    <row r="497" customFormat="false" ht="15.75" hidden="false" customHeight="true" outlineLevel="0" collapsed="false">
      <c r="A497" s="2" t="s">
        <v>69</v>
      </c>
      <c r="B497" s="2" t="s">
        <v>293</v>
      </c>
      <c r="C497" s="1" t="str">
        <f aca="false">A497&amp;B497</f>
        <v>3200630103</v>
      </c>
      <c r="D497" s="13" t="n">
        <v>230896.05</v>
      </c>
    </row>
    <row r="498" customFormat="false" ht="15.75" hidden="false" customHeight="true" outlineLevel="0" collapsed="false">
      <c r="A498" s="2" t="s">
        <v>69</v>
      </c>
      <c r="B498" s="2" t="s">
        <v>258</v>
      </c>
      <c r="C498" s="1" t="str">
        <f aca="false">A498&amp;B498</f>
        <v>3200630200</v>
      </c>
      <c r="D498" s="13" t="n">
        <v>-1049.24</v>
      </c>
    </row>
    <row r="499" customFormat="false" ht="15.75" hidden="false" customHeight="true" outlineLevel="0" collapsed="false">
      <c r="A499" s="2" t="s">
        <v>69</v>
      </c>
      <c r="B499" s="2" t="s">
        <v>179</v>
      </c>
      <c r="C499" s="1" t="str">
        <f aca="false">A499&amp;B499</f>
        <v>3200640001</v>
      </c>
      <c r="D499" s="13" t="n">
        <v>239990.6</v>
      </c>
    </row>
    <row r="500" customFormat="false" ht="15.75" hidden="false" customHeight="true" outlineLevel="0" collapsed="false">
      <c r="A500" s="2" t="s">
        <v>69</v>
      </c>
      <c r="B500" s="2" t="s">
        <v>180</v>
      </c>
      <c r="C500" s="1" t="str">
        <f aca="false">A500&amp;B500</f>
        <v>3200640100</v>
      </c>
      <c r="D500" s="13" t="n">
        <v>5255463.98</v>
      </c>
    </row>
    <row r="501" customFormat="false" ht="15.75" hidden="false" customHeight="true" outlineLevel="0" collapsed="false">
      <c r="A501" s="2" t="s">
        <v>69</v>
      </c>
      <c r="B501" s="2" t="s">
        <v>181</v>
      </c>
      <c r="C501" s="1" t="str">
        <f aca="false">A501&amp;B501</f>
        <v>3200640900</v>
      </c>
      <c r="D501" s="13" t="n">
        <v>78506070.58</v>
      </c>
    </row>
    <row r="502" customFormat="false" ht="15.75" hidden="false" customHeight="true" outlineLevel="0" collapsed="false">
      <c r="A502" s="2" t="s">
        <v>69</v>
      </c>
      <c r="B502" s="2" t="s">
        <v>182</v>
      </c>
      <c r="C502" s="1" t="str">
        <f aca="false">A502&amp;B502</f>
        <v>3200690000</v>
      </c>
      <c r="D502" s="13" t="n">
        <v>-247337</v>
      </c>
    </row>
    <row r="503" customFormat="false" ht="15.75" hidden="false" customHeight="true" outlineLevel="0" collapsed="false">
      <c r="A503" s="2" t="s">
        <v>69</v>
      </c>
      <c r="B503" s="2" t="s">
        <v>294</v>
      </c>
      <c r="C503" s="1" t="str">
        <f aca="false">A503&amp;B503</f>
        <v>3200800000</v>
      </c>
      <c r="D503" s="13" t="n">
        <v>-154372622.57</v>
      </c>
    </row>
    <row r="504" customFormat="false" ht="15.75" hidden="false" customHeight="true" outlineLevel="0" collapsed="false">
      <c r="A504" s="2" t="s">
        <v>69</v>
      </c>
      <c r="B504" s="2" t="s">
        <v>295</v>
      </c>
      <c r="C504" s="1" t="str">
        <f aca="false">A504&amp;B504</f>
        <v>3200800001</v>
      </c>
      <c r="D504" s="13" t="n">
        <v>154372622.57</v>
      </c>
    </row>
    <row r="505" customFormat="false" ht="15.75" hidden="false" customHeight="true" outlineLevel="0" collapsed="false">
      <c r="A505" s="2" t="s">
        <v>69</v>
      </c>
      <c r="B505" s="2" t="s">
        <v>296</v>
      </c>
      <c r="C505" s="1" t="str">
        <f aca="false">A505&amp;B505</f>
        <v>3200800004</v>
      </c>
      <c r="D505" s="13" t="n">
        <v>5452000</v>
      </c>
    </row>
    <row r="506" customFormat="false" ht="15.75" hidden="false" customHeight="true" outlineLevel="0" collapsed="false">
      <c r="A506" s="2" t="s">
        <v>69</v>
      </c>
      <c r="B506" s="2" t="s">
        <v>297</v>
      </c>
      <c r="C506" s="1" t="str">
        <f aca="false">A506&amp;B506</f>
        <v>3200800005</v>
      </c>
      <c r="D506" s="13" t="n">
        <v>-1635600</v>
      </c>
    </row>
    <row r="507" customFormat="false" ht="15.75" hidden="false" customHeight="true" outlineLevel="0" collapsed="false">
      <c r="A507" s="2" t="s">
        <v>69</v>
      </c>
      <c r="B507" s="2" t="s">
        <v>235</v>
      </c>
      <c r="C507" s="1" t="str">
        <f aca="false">A507&amp;B507</f>
        <v>3200800006</v>
      </c>
      <c r="D507" s="13" t="n">
        <v>-3816400</v>
      </c>
    </row>
    <row r="508" customFormat="false" ht="15.75" hidden="false" customHeight="true" outlineLevel="0" collapsed="false">
      <c r="A508" s="2" t="s">
        <v>69</v>
      </c>
      <c r="B508" s="2" t="s">
        <v>20</v>
      </c>
      <c r="C508" s="1" t="str">
        <f aca="false">A508&amp;B508</f>
        <v>3200910001</v>
      </c>
      <c r="D508" s="13" t="n">
        <v>0</v>
      </c>
    </row>
    <row r="509" customFormat="false" ht="15.75" hidden="false" customHeight="true" outlineLevel="0" collapsed="false">
      <c r="A509" s="2" t="s">
        <v>69</v>
      </c>
      <c r="B509" s="2" t="s">
        <v>34</v>
      </c>
      <c r="C509" s="1" t="str">
        <f aca="false">A509&amp;B509</f>
        <v>3200910002</v>
      </c>
      <c r="D509" s="13" t="n">
        <v>0</v>
      </c>
    </row>
    <row r="510" customFormat="false" ht="15.75" hidden="false" customHeight="true" outlineLevel="0" collapsed="false">
      <c r="A510" s="2" t="s">
        <v>69</v>
      </c>
      <c r="B510" s="2" t="s">
        <v>18</v>
      </c>
      <c r="C510" s="1" t="str">
        <f aca="false">A510&amp;B510</f>
        <v>3200910003</v>
      </c>
      <c r="D510" s="13" t="n">
        <v>0</v>
      </c>
    </row>
    <row r="511" customFormat="false" ht="15.75" hidden="false" customHeight="true" outlineLevel="0" collapsed="false">
      <c r="A511" s="2" t="s">
        <v>69</v>
      </c>
      <c r="B511" s="2" t="s">
        <v>35</v>
      </c>
      <c r="C511" s="1" t="str">
        <f aca="false">A511&amp;B511</f>
        <v>3200910004</v>
      </c>
      <c r="D511" s="13" t="n">
        <v>0</v>
      </c>
    </row>
    <row r="512" customFormat="false" ht="15.75" hidden="false" customHeight="true" outlineLevel="0" collapsed="false">
      <c r="A512" s="2" t="s">
        <v>69</v>
      </c>
      <c r="B512" s="2" t="s">
        <v>183</v>
      </c>
      <c r="C512" s="1" t="str">
        <f aca="false">A512&amp;B512</f>
        <v>3200990000</v>
      </c>
      <c r="D512" s="13" t="n">
        <v>0</v>
      </c>
    </row>
    <row r="513" customFormat="false" ht="15.75" hidden="false" customHeight="true" outlineLevel="0" collapsed="false">
      <c r="A513" s="2" t="s">
        <v>69</v>
      </c>
      <c r="B513" s="2" t="s">
        <v>184</v>
      </c>
      <c r="C513" s="1" t="str">
        <f aca="false">A513&amp;B513</f>
        <v>3200990002</v>
      </c>
      <c r="D513" s="13" t="n">
        <v>3446590.54</v>
      </c>
    </row>
    <row r="514" customFormat="false" ht="15.75" hidden="false" customHeight="true" outlineLevel="0" collapsed="false">
      <c r="A514" s="2" t="s">
        <v>69</v>
      </c>
      <c r="B514" s="2" t="s">
        <v>185</v>
      </c>
      <c r="C514" s="1" t="str">
        <f aca="false">A514&amp;B514</f>
        <v>3200990003</v>
      </c>
      <c r="D514" s="13" t="n">
        <v>0</v>
      </c>
    </row>
    <row r="515" customFormat="false" ht="15.75" hidden="false" customHeight="true" outlineLevel="0" collapsed="false">
      <c r="A515" s="2" t="s">
        <v>76</v>
      </c>
      <c r="B515" s="2" t="s">
        <v>129</v>
      </c>
      <c r="C515" s="1" t="str">
        <f aca="false">A515&amp;B515</f>
        <v>3300110098</v>
      </c>
      <c r="D515" s="13" t="n">
        <v>25734.5</v>
      </c>
    </row>
    <row r="516" customFormat="false" ht="15.75" hidden="false" customHeight="true" outlineLevel="0" collapsed="false">
      <c r="A516" s="2" t="s">
        <v>76</v>
      </c>
      <c r="B516" s="2" t="s">
        <v>239</v>
      </c>
      <c r="C516" s="1" t="str">
        <f aca="false">A516&amp;B516</f>
        <v>3300112000</v>
      </c>
      <c r="D516" s="13" t="n">
        <v>2289308.72</v>
      </c>
    </row>
    <row r="517" customFormat="false" ht="15.75" hidden="false" customHeight="true" outlineLevel="0" collapsed="false">
      <c r="A517" s="2" t="s">
        <v>76</v>
      </c>
      <c r="B517" s="2" t="s">
        <v>240</v>
      </c>
      <c r="C517" s="1" t="str">
        <f aca="false">A517&amp;B517</f>
        <v>3300112001</v>
      </c>
      <c r="D517" s="13" t="n">
        <v>-40891.87</v>
      </c>
    </row>
    <row r="518" customFormat="false" ht="15.75" hidden="false" customHeight="true" outlineLevel="0" collapsed="false">
      <c r="A518" s="2" t="s">
        <v>76</v>
      </c>
      <c r="B518" s="2" t="s">
        <v>131</v>
      </c>
      <c r="C518" s="1" t="str">
        <f aca="false">A518&amp;B518</f>
        <v>3300120000</v>
      </c>
      <c r="D518" s="13" t="n">
        <v>191126</v>
      </c>
    </row>
    <row r="519" customFormat="false" ht="15.75" hidden="false" customHeight="true" outlineLevel="0" collapsed="false">
      <c r="A519" s="2" t="s">
        <v>76</v>
      </c>
      <c r="B519" s="2" t="s">
        <v>298</v>
      </c>
      <c r="C519" s="1" t="str">
        <f aca="false">A519&amp;B519</f>
        <v>3300140000</v>
      </c>
      <c r="D519" s="13" t="n">
        <v>3275919.16</v>
      </c>
    </row>
    <row r="520" customFormat="false" ht="15.75" hidden="false" customHeight="true" outlineLevel="0" collapsed="false">
      <c r="A520" s="2" t="s">
        <v>76</v>
      </c>
      <c r="B520" s="2" t="s">
        <v>241</v>
      </c>
      <c r="C520" s="1" t="str">
        <f aca="false">A520&amp;B520</f>
        <v>3300140001</v>
      </c>
      <c r="D520" s="13" t="n">
        <v>2296274.02</v>
      </c>
    </row>
    <row r="521" customFormat="false" ht="15.75" hidden="false" customHeight="true" outlineLevel="0" collapsed="false">
      <c r="A521" s="2" t="s">
        <v>76</v>
      </c>
      <c r="B521" s="2" t="s">
        <v>133</v>
      </c>
      <c r="C521" s="1" t="str">
        <f aca="false">A521&amp;B521</f>
        <v>3300140002</v>
      </c>
      <c r="D521" s="13" t="n">
        <v>7391831.51</v>
      </c>
    </row>
    <row r="522" customFormat="false" ht="15.75" hidden="false" customHeight="true" outlineLevel="0" collapsed="false">
      <c r="A522" s="2" t="s">
        <v>76</v>
      </c>
      <c r="B522" s="2" t="s">
        <v>134</v>
      </c>
      <c r="C522" s="1" t="str">
        <f aca="false">A522&amp;B522</f>
        <v>3300160000</v>
      </c>
      <c r="D522" s="13" t="n">
        <v>100000</v>
      </c>
    </row>
    <row r="523" customFormat="false" ht="15.75" hidden="false" customHeight="true" outlineLevel="0" collapsed="false">
      <c r="A523" s="2" t="s">
        <v>76</v>
      </c>
      <c r="B523" s="2" t="s">
        <v>137</v>
      </c>
      <c r="C523" s="1" t="str">
        <f aca="false">A523&amp;B523</f>
        <v>3300160200</v>
      </c>
      <c r="D523" s="13" t="n">
        <v>0</v>
      </c>
    </row>
    <row r="524" customFormat="false" ht="15.75" hidden="false" customHeight="true" outlineLevel="0" collapsed="false">
      <c r="A524" s="2" t="s">
        <v>76</v>
      </c>
      <c r="B524" s="2" t="s">
        <v>138</v>
      </c>
      <c r="C524" s="1" t="str">
        <f aca="false">A524&amp;B524</f>
        <v>3300160201</v>
      </c>
      <c r="D524" s="13" t="n">
        <v>78247714.16</v>
      </c>
    </row>
    <row r="525" customFormat="false" ht="15.75" hidden="false" customHeight="true" outlineLevel="0" collapsed="false">
      <c r="A525" s="2" t="s">
        <v>76</v>
      </c>
      <c r="B525" s="2" t="s">
        <v>139</v>
      </c>
      <c r="C525" s="1" t="str">
        <f aca="false">A525&amp;B525</f>
        <v>3300160250</v>
      </c>
      <c r="D525" s="13" t="n">
        <v>0</v>
      </c>
    </row>
    <row r="526" customFormat="false" ht="15.75" hidden="false" customHeight="true" outlineLevel="0" collapsed="false">
      <c r="A526" s="2" t="s">
        <v>76</v>
      </c>
      <c r="B526" s="2" t="s">
        <v>140</v>
      </c>
      <c r="C526" s="1" t="str">
        <f aca="false">A526&amp;B526</f>
        <v>3300160251</v>
      </c>
      <c r="D526" s="13" t="n">
        <v>-74317599.25</v>
      </c>
    </row>
    <row r="527" customFormat="false" ht="15.75" hidden="false" customHeight="true" outlineLevel="0" collapsed="false">
      <c r="A527" s="2" t="s">
        <v>76</v>
      </c>
      <c r="B527" s="2" t="s">
        <v>299</v>
      </c>
      <c r="C527" s="1" t="str">
        <f aca="false">A527&amp;B527</f>
        <v>3300160300</v>
      </c>
      <c r="D527" s="13" t="n">
        <v>20989957.19</v>
      </c>
    </row>
    <row r="528" customFormat="false" ht="15.75" hidden="false" customHeight="true" outlineLevel="0" collapsed="false">
      <c r="A528" s="2" t="s">
        <v>76</v>
      </c>
      <c r="B528" s="2" t="s">
        <v>141</v>
      </c>
      <c r="C528" s="1" t="str">
        <f aca="false">A528&amp;B528</f>
        <v>3300160302</v>
      </c>
      <c r="D528" s="13" t="n">
        <v>46812204.08</v>
      </c>
    </row>
    <row r="529" customFormat="false" ht="15.75" hidden="false" customHeight="true" outlineLevel="0" collapsed="false">
      <c r="A529" s="2" t="s">
        <v>76</v>
      </c>
      <c r="B529" s="2" t="s">
        <v>300</v>
      </c>
      <c r="C529" s="1" t="str">
        <f aca="false">A529&amp;B529</f>
        <v>3300160350</v>
      </c>
      <c r="D529" s="13" t="n">
        <v>-14925977.54</v>
      </c>
    </row>
    <row r="530" customFormat="false" ht="15.75" hidden="false" customHeight="true" outlineLevel="0" collapsed="false">
      <c r="A530" s="2" t="s">
        <v>76</v>
      </c>
      <c r="B530" s="2" t="s">
        <v>142</v>
      </c>
      <c r="C530" s="1" t="str">
        <f aca="false">A530&amp;B530</f>
        <v>3300160352</v>
      </c>
      <c r="D530" s="13" t="n">
        <v>-31791108.53</v>
      </c>
    </row>
    <row r="531" customFormat="false" ht="15.75" hidden="false" customHeight="true" outlineLevel="0" collapsed="false">
      <c r="A531" s="2" t="s">
        <v>76</v>
      </c>
      <c r="B531" s="2" t="s">
        <v>143</v>
      </c>
      <c r="C531" s="1" t="str">
        <f aca="false">A531&amp;B531</f>
        <v>3300165200</v>
      </c>
      <c r="D531" s="13" t="n">
        <v>0</v>
      </c>
    </row>
    <row r="532" customFormat="false" ht="15.75" hidden="false" customHeight="true" outlineLevel="0" collapsed="false">
      <c r="A532" s="2" t="s">
        <v>76</v>
      </c>
      <c r="B532" s="2" t="s">
        <v>242</v>
      </c>
      <c r="C532" s="1" t="str">
        <f aca="false">A532&amp;B532</f>
        <v>3300165201</v>
      </c>
      <c r="D532" s="13" t="n">
        <v>3031586.18</v>
      </c>
    </row>
    <row r="533" customFormat="false" ht="15.75" hidden="false" customHeight="true" outlineLevel="0" collapsed="false">
      <c r="A533" s="2" t="s">
        <v>76</v>
      </c>
      <c r="B533" s="2" t="s">
        <v>301</v>
      </c>
      <c r="C533" s="1" t="str">
        <f aca="false">A533&amp;B533</f>
        <v>3300165300</v>
      </c>
      <c r="D533" s="13" t="n">
        <v>3421583.82</v>
      </c>
    </row>
    <row r="534" customFormat="false" ht="15.75" hidden="false" customHeight="true" outlineLevel="0" collapsed="false">
      <c r="A534" s="2" t="s">
        <v>76</v>
      </c>
      <c r="B534" s="2" t="s">
        <v>144</v>
      </c>
      <c r="C534" s="1" t="str">
        <f aca="false">A534&amp;B534</f>
        <v>3300169999</v>
      </c>
      <c r="D534" s="13" t="n">
        <v>0</v>
      </c>
    </row>
    <row r="535" customFormat="false" ht="15.75" hidden="false" customHeight="true" outlineLevel="0" collapsed="false">
      <c r="A535" s="2" t="s">
        <v>76</v>
      </c>
      <c r="B535" s="2" t="s">
        <v>243</v>
      </c>
      <c r="C535" s="1" t="str">
        <f aca="false">A535&amp;B535</f>
        <v>3300170200</v>
      </c>
      <c r="D535" s="13" t="n">
        <v>87775499.73</v>
      </c>
    </row>
    <row r="536" customFormat="false" ht="15.75" hidden="false" customHeight="true" outlineLevel="0" collapsed="false">
      <c r="A536" s="2" t="s">
        <v>76</v>
      </c>
      <c r="B536" s="2" t="s">
        <v>244</v>
      </c>
      <c r="C536" s="1" t="str">
        <f aca="false">A536&amp;B536</f>
        <v>3300170250</v>
      </c>
      <c r="D536" s="13" t="n">
        <v>-54720484.79</v>
      </c>
    </row>
    <row r="537" customFormat="false" ht="15.75" hidden="false" customHeight="true" outlineLevel="0" collapsed="false">
      <c r="A537" s="2" t="s">
        <v>76</v>
      </c>
      <c r="B537" s="2" t="s">
        <v>245</v>
      </c>
      <c r="C537" s="1" t="str">
        <f aca="false">A537&amp;B537</f>
        <v>3300175000</v>
      </c>
      <c r="D537" s="13" t="n">
        <v>72164186.49</v>
      </c>
    </row>
    <row r="538" customFormat="false" ht="15.75" hidden="false" customHeight="true" outlineLevel="0" collapsed="false">
      <c r="A538" s="2" t="s">
        <v>76</v>
      </c>
      <c r="B538" s="2" t="s">
        <v>188</v>
      </c>
      <c r="C538" s="1" t="str">
        <f aca="false">A538&amp;B538</f>
        <v>3300191000</v>
      </c>
      <c r="D538" s="13" t="n">
        <v>5050001</v>
      </c>
    </row>
    <row r="539" customFormat="false" ht="15.75" hidden="false" customHeight="true" outlineLevel="0" collapsed="false">
      <c r="A539" s="2" t="s">
        <v>76</v>
      </c>
      <c r="B539" s="2" t="s">
        <v>145</v>
      </c>
      <c r="C539" s="1" t="str">
        <f aca="false">A539&amp;B539</f>
        <v>3300193000</v>
      </c>
      <c r="D539" s="13" t="n">
        <v>20078256.58</v>
      </c>
    </row>
    <row r="540" customFormat="false" ht="15.75" hidden="false" customHeight="true" outlineLevel="0" collapsed="false">
      <c r="A540" s="2" t="s">
        <v>76</v>
      </c>
      <c r="B540" s="2" t="s">
        <v>274</v>
      </c>
      <c r="C540" s="1" t="str">
        <f aca="false">A540&amp;B540</f>
        <v>3300194000</v>
      </c>
      <c r="D540" s="13" t="n">
        <v>1837008.16</v>
      </c>
    </row>
    <row r="541" customFormat="false" ht="15.75" hidden="false" customHeight="true" outlineLevel="0" collapsed="false">
      <c r="A541" s="2" t="s">
        <v>76</v>
      </c>
      <c r="B541" s="2" t="s">
        <v>146</v>
      </c>
      <c r="C541" s="1" t="str">
        <f aca="false">A541&amp;B541</f>
        <v>3300200000</v>
      </c>
      <c r="D541" s="13" t="n">
        <v>-100000</v>
      </c>
    </row>
    <row r="542" customFormat="false" ht="15.75" hidden="false" customHeight="true" outlineLevel="0" collapsed="false">
      <c r="A542" s="2" t="s">
        <v>76</v>
      </c>
      <c r="B542" s="2" t="s">
        <v>147</v>
      </c>
      <c r="C542" s="1" t="str">
        <f aca="false">A542&amp;B542</f>
        <v>3300200004</v>
      </c>
      <c r="D542" s="13" t="n">
        <v>-18786.38</v>
      </c>
    </row>
    <row r="543" customFormat="false" ht="15.75" hidden="false" customHeight="true" outlineLevel="0" collapsed="false">
      <c r="A543" s="2" t="s">
        <v>76</v>
      </c>
      <c r="B543" s="2" t="s">
        <v>246</v>
      </c>
      <c r="C543" s="1" t="str">
        <f aca="false">A543&amp;B543</f>
        <v>3300200007</v>
      </c>
      <c r="D543" s="13" t="n">
        <v>-282.13</v>
      </c>
    </row>
    <row r="544" customFormat="false" ht="15.75" hidden="false" customHeight="true" outlineLevel="0" collapsed="false">
      <c r="A544" s="2" t="s">
        <v>76</v>
      </c>
      <c r="B544" s="2" t="s">
        <v>148</v>
      </c>
      <c r="C544" s="1" t="str">
        <f aca="false">A544&amp;B544</f>
        <v>3300200098</v>
      </c>
      <c r="D544" s="13" t="n">
        <v>-43720261.24</v>
      </c>
    </row>
    <row r="545" customFormat="false" ht="15.75" hidden="false" customHeight="true" outlineLevel="0" collapsed="false">
      <c r="A545" s="2" t="s">
        <v>76</v>
      </c>
      <c r="B545" s="2" t="s">
        <v>259</v>
      </c>
      <c r="C545" s="1" t="str">
        <f aca="false">A545&amp;B545</f>
        <v>3300200200</v>
      </c>
      <c r="D545" s="13" t="n">
        <v>-30350.62</v>
      </c>
    </row>
    <row r="546" customFormat="false" ht="15.75" hidden="false" customHeight="true" outlineLevel="0" collapsed="false">
      <c r="A546" s="2" t="s">
        <v>76</v>
      </c>
      <c r="B546" s="2" t="s">
        <v>248</v>
      </c>
      <c r="C546" s="1" t="str">
        <f aca="false">A546&amp;B546</f>
        <v>3300200205</v>
      </c>
      <c r="D546" s="13" t="n">
        <v>-106011.86</v>
      </c>
    </row>
    <row r="547" customFormat="false" ht="15.75" hidden="false" customHeight="true" outlineLevel="0" collapsed="false">
      <c r="A547" s="2" t="s">
        <v>76</v>
      </c>
      <c r="B547" s="2" t="s">
        <v>249</v>
      </c>
      <c r="C547" s="1" t="str">
        <f aca="false">A547&amp;B547</f>
        <v>3300200206</v>
      </c>
      <c r="D547" s="13" t="n">
        <v>81196.39</v>
      </c>
    </row>
    <row r="548" customFormat="false" ht="15.75" hidden="false" customHeight="true" outlineLevel="0" collapsed="false">
      <c r="A548" s="2" t="s">
        <v>76</v>
      </c>
      <c r="B548" s="2" t="s">
        <v>250</v>
      </c>
      <c r="C548" s="1" t="str">
        <f aca="false">A548&amp;B548</f>
        <v>3300200207</v>
      </c>
      <c r="D548" s="13" t="n">
        <v>-582.67</v>
      </c>
    </row>
    <row r="549" customFormat="false" ht="15.75" hidden="false" customHeight="true" outlineLevel="0" collapsed="false">
      <c r="A549" s="2" t="s">
        <v>76</v>
      </c>
      <c r="B549" s="2" t="s">
        <v>149</v>
      </c>
      <c r="C549" s="1" t="str">
        <f aca="false">A549&amp;B549</f>
        <v>3300200208</v>
      </c>
      <c r="D549" s="13" t="n">
        <v>40412808.13</v>
      </c>
    </row>
    <row r="550" customFormat="false" ht="15.75" hidden="false" customHeight="true" outlineLevel="0" collapsed="false">
      <c r="A550" s="2" t="s">
        <v>76</v>
      </c>
      <c r="B550" s="2" t="s">
        <v>252</v>
      </c>
      <c r="C550" s="1" t="str">
        <f aca="false">A550&amp;B550</f>
        <v>3300200301</v>
      </c>
      <c r="D550" s="13" t="n">
        <v>-513.19</v>
      </c>
    </row>
    <row r="551" customFormat="false" ht="15.75" hidden="false" customHeight="true" outlineLevel="0" collapsed="false">
      <c r="A551" s="2" t="s">
        <v>76</v>
      </c>
      <c r="B551" s="2" t="s">
        <v>150</v>
      </c>
      <c r="C551" s="1" t="str">
        <f aca="false">A551&amp;B551</f>
        <v>3300200302</v>
      </c>
      <c r="D551" s="13" t="n">
        <v>-2204082.65</v>
      </c>
    </row>
    <row r="552" customFormat="false" ht="15.75" hidden="false" customHeight="true" outlineLevel="0" collapsed="false">
      <c r="A552" s="2" t="s">
        <v>76</v>
      </c>
      <c r="B552" s="2" t="s">
        <v>154</v>
      </c>
      <c r="C552" s="1" t="str">
        <f aca="false">A552&amp;B552</f>
        <v>3300201300</v>
      </c>
      <c r="D552" s="13" t="n">
        <v>-1915940.61</v>
      </c>
    </row>
    <row r="553" customFormat="false" ht="15.75" hidden="false" customHeight="true" outlineLevel="0" collapsed="false">
      <c r="A553" s="2" t="s">
        <v>76</v>
      </c>
      <c r="B553" s="2" t="s">
        <v>302</v>
      </c>
      <c r="C553" s="1" t="str">
        <f aca="false">A553&amp;B553</f>
        <v>3300201301</v>
      </c>
      <c r="D553" s="13" t="n">
        <v>-26627447.86</v>
      </c>
    </row>
    <row r="554" customFormat="false" ht="15.75" hidden="false" customHeight="true" outlineLevel="0" collapsed="false">
      <c r="A554" s="2" t="s">
        <v>76</v>
      </c>
      <c r="B554" s="2" t="s">
        <v>155</v>
      </c>
      <c r="C554" s="1" t="str">
        <f aca="false">A554&amp;B554</f>
        <v>3300201302</v>
      </c>
      <c r="D554" s="13" t="n">
        <v>-14427584.94</v>
      </c>
    </row>
    <row r="555" customFormat="false" ht="15.75" hidden="false" customHeight="true" outlineLevel="0" collapsed="false">
      <c r="A555" s="2" t="s">
        <v>76</v>
      </c>
      <c r="B555" s="2" t="s">
        <v>156</v>
      </c>
      <c r="C555" s="1" t="str">
        <f aca="false">A555&amp;B555</f>
        <v>3300201400</v>
      </c>
      <c r="D555" s="13" t="n">
        <v>-11498511.08</v>
      </c>
    </row>
    <row r="556" customFormat="false" ht="15.75" hidden="false" customHeight="true" outlineLevel="0" collapsed="false">
      <c r="A556" s="2" t="s">
        <v>76</v>
      </c>
      <c r="B556" s="2" t="s">
        <v>253</v>
      </c>
      <c r="C556" s="1" t="str">
        <f aca="false">A556&amp;B556</f>
        <v>3300201500</v>
      </c>
      <c r="D556" s="13" t="n">
        <v>20599</v>
      </c>
    </row>
    <row r="557" customFormat="false" ht="15.75" hidden="false" customHeight="true" outlineLevel="0" collapsed="false">
      <c r="A557" s="2" t="s">
        <v>76</v>
      </c>
      <c r="B557" s="2" t="s">
        <v>190</v>
      </c>
      <c r="C557" s="1" t="str">
        <f aca="false">A557&amp;B557</f>
        <v>3300203001</v>
      </c>
      <c r="D557" s="13" t="n">
        <v>1291038.85</v>
      </c>
    </row>
    <row r="558" customFormat="false" ht="15.75" hidden="false" customHeight="true" outlineLevel="0" collapsed="false">
      <c r="A558" s="2" t="s">
        <v>76</v>
      </c>
      <c r="B558" s="2" t="s">
        <v>157</v>
      </c>
      <c r="C558" s="1" t="str">
        <f aca="false">A558&amp;B558</f>
        <v>3300204020</v>
      </c>
      <c r="D558" s="13" t="n">
        <v>2160782.39</v>
      </c>
    </row>
    <row r="559" customFormat="false" ht="15.75" hidden="false" customHeight="true" outlineLevel="0" collapsed="false">
      <c r="A559" s="2" t="s">
        <v>76</v>
      </c>
      <c r="B559" s="2" t="s">
        <v>158</v>
      </c>
      <c r="C559" s="1" t="str">
        <f aca="false">A559&amp;B559</f>
        <v>3300210000</v>
      </c>
      <c r="D559" s="13" t="n">
        <v>-4595613.53</v>
      </c>
    </row>
    <row r="560" customFormat="false" ht="15.75" hidden="false" customHeight="true" outlineLevel="0" collapsed="false">
      <c r="A560" s="2" t="s">
        <v>76</v>
      </c>
      <c r="B560" s="2" t="s">
        <v>254</v>
      </c>
      <c r="C560" s="1" t="str">
        <f aca="false">A560&amp;B560</f>
        <v>3300210001</v>
      </c>
      <c r="D560" s="13" t="n">
        <v>-678781.98</v>
      </c>
    </row>
    <row r="561" customFormat="false" ht="15.75" hidden="false" customHeight="true" outlineLevel="0" collapsed="false">
      <c r="A561" s="2" t="s">
        <v>76</v>
      </c>
      <c r="B561" s="2" t="s">
        <v>159</v>
      </c>
      <c r="C561" s="1" t="str">
        <f aca="false">A561&amp;B561</f>
        <v>3300210002</v>
      </c>
      <c r="D561" s="13" t="n">
        <v>-4531787.76</v>
      </c>
    </row>
    <row r="562" customFormat="false" ht="15.75" hidden="false" customHeight="true" outlineLevel="0" collapsed="false">
      <c r="A562" s="2" t="s">
        <v>76</v>
      </c>
      <c r="B562" s="2" t="s">
        <v>160</v>
      </c>
      <c r="C562" s="1" t="str">
        <f aca="false">A562&amp;B562</f>
        <v>3300220001</v>
      </c>
      <c r="D562" s="13" t="n">
        <v>-14966169.18</v>
      </c>
    </row>
    <row r="563" customFormat="false" ht="15.75" hidden="false" customHeight="true" outlineLevel="0" collapsed="false">
      <c r="A563" s="2" t="s">
        <v>76</v>
      </c>
      <c r="B563" s="2" t="s">
        <v>283</v>
      </c>
      <c r="C563" s="1" t="str">
        <f aca="false">A563&amp;B563</f>
        <v>3300241100</v>
      </c>
      <c r="D563" s="13" t="n">
        <v>0</v>
      </c>
    </row>
    <row r="564" customFormat="false" ht="15.75" hidden="false" customHeight="true" outlineLevel="0" collapsed="false">
      <c r="A564" s="2" t="s">
        <v>76</v>
      </c>
      <c r="B564" s="2" t="s">
        <v>123</v>
      </c>
      <c r="C564" s="1" t="str">
        <f aca="false">A564&amp;B564</f>
        <v>3300243000</v>
      </c>
      <c r="D564" s="13" t="n">
        <v>-2444042634.82</v>
      </c>
    </row>
    <row r="565" customFormat="false" ht="15.75" hidden="false" customHeight="true" outlineLevel="0" collapsed="false">
      <c r="A565" s="2" t="s">
        <v>76</v>
      </c>
      <c r="B565" s="2" t="s">
        <v>124</v>
      </c>
      <c r="C565" s="1" t="str">
        <f aca="false">A565&amp;B565</f>
        <v>3300243003</v>
      </c>
      <c r="D565" s="13" t="n">
        <v>2390846435.12</v>
      </c>
    </row>
    <row r="566" customFormat="false" ht="15.75" hidden="false" customHeight="true" outlineLevel="0" collapsed="false">
      <c r="A566" s="2" t="s">
        <v>76</v>
      </c>
      <c r="B566" s="2" t="s">
        <v>125</v>
      </c>
      <c r="C566" s="1" t="str">
        <f aca="false">A566&amp;B566</f>
        <v>3300243005</v>
      </c>
      <c r="D566" s="13" t="n">
        <v>-36360368.2</v>
      </c>
    </row>
    <row r="567" customFormat="false" ht="15.75" hidden="false" customHeight="true" outlineLevel="0" collapsed="false">
      <c r="A567" s="2" t="s">
        <v>76</v>
      </c>
      <c r="B567" s="2" t="s">
        <v>161</v>
      </c>
      <c r="C567" s="1" t="str">
        <f aca="false">A567&amp;B567</f>
        <v>3300243006</v>
      </c>
      <c r="D567" s="13" t="n">
        <v>0</v>
      </c>
    </row>
    <row r="568" customFormat="false" ht="15.75" hidden="false" customHeight="true" outlineLevel="0" collapsed="false">
      <c r="A568" s="2" t="s">
        <v>76</v>
      </c>
      <c r="B568" s="2" t="s">
        <v>162</v>
      </c>
      <c r="C568" s="1" t="str">
        <f aca="false">A568&amp;B568</f>
        <v>3300250000</v>
      </c>
      <c r="D568" s="13" t="n">
        <v>-2470551.32</v>
      </c>
    </row>
    <row r="569" customFormat="false" ht="15.75" hidden="false" customHeight="true" outlineLevel="0" collapsed="false">
      <c r="A569" s="2" t="s">
        <v>76</v>
      </c>
      <c r="B569" s="2" t="s">
        <v>255</v>
      </c>
      <c r="C569" s="1" t="str">
        <f aca="false">A569&amp;B569</f>
        <v>3300250001</v>
      </c>
      <c r="D569" s="13" t="n">
        <v>-1631347.4</v>
      </c>
    </row>
    <row r="570" customFormat="false" ht="15.75" hidden="false" customHeight="true" outlineLevel="0" collapsed="false">
      <c r="A570" s="2" t="s">
        <v>76</v>
      </c>
      <c r="B570" s="2" t="s">
        <v>231</v>
      </c>
      <c r="C570" s="1" t="str">
        <f aca="false">A570&amp;B570</f>
        <v>3300250200</v>
      </c>
      <c r="D570" s="13" t="n">
        <v>-5105152.66</v>
      </c>
    </row>
    <row r="571" customFormat="false" ht="15.75" hidden="false" customHeight="true" outlineLevel="0" collapsed="false">
      <c r="A571" s="2" t="s">
        <v>76</v>
      </c>
      <c r="B571" s="2" t="s">
        <v>164</v>
      </c>
      <c r="C571" s="1" t="str">
        <f aca="false">A571&amp;B571</f>
        <v>3300260003</v>
      </c>
      <c r="D571" s="13" t="n">
        <v>-3616609.57</v>
      </c>
    </row>
    <row r="572" customFormat="false" ht="15.75" hidden="false" customHeight="true" outlineLevel="0" collapsed="false">
      <c r="A572" s="2" t="s">
        <v>76</v>
      </c>
      <c r="B572" s="2" t="s">
        <v>165</v>
      </c>
      <c r="C572" s="1" t="str">
        <f aca="false">A572&amp;B572</f>
        <v>3300280000</v>
      </c>
      <c r="D572" s="13" t="n">
        <v>779752</v>
      </c>
    </row>
    <row r="573" customFormat="false" ht="15.75" hidden="false" customHeight="true" outlineLevel="0" collapsed="false">
      <c r="A573" s="2" t="s">
        <v>76</v>
      </c>
      <c r="B573" s="2" t="s">
        <v>126</v>
      </c>
      <c r="C573" s="1" t="str">
        <f aca="false">A573&amp;B573</f>
        <v>3300300002</v>
      </c>
      <c r="D573" s="13" t="n">
        <v>-34107300.53</v>
      </c>
    </row>
    <row r="574" customFormat="false" ht="15.75" hidden="false" customHeight="true" outlineLevel="0" collapsed="false">
      <c r="A574" s="2" t="s">
        <v>76</v>
      </c>
      <c r="B574" s="2" t="s">
        <v>127</v>
      </c>
      <c r="C574" s="1" t="str">
        <f aca="false">A574&amp;B574</f>
        <v>3300320000</v>
      </c>
      <c r="D574" s="13" t="n">
        <v>39450981.96</v>
      </c>
    </row>
    <row r="575" customFormat="false" ht="15.75" hidden="false" customHeight="true" outlineLevel="0" collapsed="false">
      <c r="A575" s="2" t="s">
        <v>76</v>
      </c>
      <c r="B575" s="2" t="s">
        <v>284</v>
      </c>
      <c r="C575" s="1" t="str">
        <f aca="false">A575&amp;B575</f>
        <v>3300320001</v>
      </c>
      <c r="D575" s="13" t="n">
        <v>-2496500</v>
      </c>
    </row>
    <row r="576" customFormat="false" ht="15.75" hidden="false" customHeight="true" outlineLevel="0" collapsed="false">
      <c r="A576" s="2" t="s">
        <v>76</v>
      </c>
      <c r="B576" s="2" t="s">
        <v>200</v>
      </c>
      <c r="C576" s="1" t="str">
        <f aca="false">A576&amp;B576</f>
        <v>3300320002</v>
      </c>
      <c r="D576" s="13" t="n">
        <v>1027350</v>
      </c>
    </row>
    <row r="577" customFormat="false" ht="15.75" hidden="false" customHeight="true" outlineLevel="0" collapsed="false">
      <c r="A577" s="2" t="s">
        <v>76</v>
      </c>
      <c r="B577" s="2" t="s">
        <v>286</v>
      </c>
      <c r="C577" s="1" t="str">
        <f aca="false">A577&amp;B577</f>
        <v>3300501050</v>
      </c>
      <c r="D577" s="13" t="n">
        <v>4500</v>
      </c>
    </row>
    <row r="578" customFormat="false" ht="15.75" hidden="false" customHeight="true" outlineLevel="0" collapsed="false">
      <c r="A578" s="2" t="s">
        <v>76</v>
      </c>
      <c r="B578" s="2" t="s">
        <v>256</v>
      </c>
      <c r="C578" s="1" t="str">
        <f aca="false">A578&amp;B578</f>
        <v>3300502900</v>
      </c>
      <c r="D578" s="13" t="n">
        <v>-211898951.46</v>
      </c>
    </row>
    <row r="579" customFormat="false" ht="15.75" hidden="false" customHeight="true" outlineLevel="0" collapsed="false">
      <c r="A579" s="2" t="s">
        <v>76</v>
      </c>
      <c r="B579" s="2" t="s">
        <v>223</v>
      </c>
      <c r="C579" s="1" t="str">
        <f aca="false">A579&amp;B579</f>
        <v>3300511000</v>
      </c>
      <c r="D579" s="13" t="n">
        <v>-145715.07</v>
      </c>
    </row>
    <row r="580" customFormat="false" ht="15.75" hidden="false" customHeight="true" outlineLevel="0" collapsed="false">
      <c r="A580" s="2" t="s">
        <v>76</v>
      </c>
      <c r="B580" s="2" t="s">
        <v>168</v>
      </c>
      <c r="C580" s="1" t="str">
        <f aca="false">A580&amp;B580</f>
        <v>3300514001</v>
      </c>
      <c r="D580" s="13" t="n">
        <v>-12530.91</v>
      </c>
    </row>
    <row r="581" customFormat="false" ht="15.75" hidden="false" customHeight="true" outlineLevel="0" collapsed="false">
      <c r="A581" s="2" t="s">
        <v>76</v>
      </c>
      <c r="B581" s="2" t="s">
        <v>77</v>
      </c>
      <c r="C581" s="1" t="str">
        <f aca="false">A581&amp;B581</f>
        <v>3300601052</v>
      </c>
      <c r="D581" s="13" t="n">
        <v>1542.51</v>
      </c>
    </row>
    <row r="582" customFormat="false" ht="15.75" hidden="false" customHeight="true" outlineLevel="0" collapsed="false">
      <c r="A582" s="2" t="s">
        <v>76</v>
      </c>
      <c r="B582" s="2" t="s">
        <v>8</v>
      </c>
      <c r="C582" s="1" t="str">
        <f aca="false">A582&amp;B582</f>
        <v>3300602000</v>
      </c>
      <c r="D582" s="13" t="n">
        <v>54262531.29</v>
      </c>
    </row>
    <row r="583" customFormat="false" ht="15.75" hidden="false" customHeight="true" outlineLevel="0" collapsed="false">
      <c r="A583" s="2" t="s">
        <v>76</v>
      </c>
      <c r="B583" s="2" t="s">
        <v>70</v>
      </c>
      <c r="C583" s="1" t="str">
        <f aca="false">A583&amp;B583</f>
        <v>3300602001</v>
      </c>
      <c r="D583" s="13" t="n">
        <v>2205.84</v>
      </c>
    </row>
    <row r="584" customFormat="false" ht="15.75" hidden="false" customHeight="true" outlineLevel="0" collapsed="false">
      <c r="A584" s="2" t="s">
        <v>76</v>
      </c>
      <c r="B584" s="2" t="s">
        <v>41</v>
      </c>
      <c r="C584" s="1" t="str">
        <f aca="false">A584&amp;B584</f>
        <v>3300602002</v>
      </c>
      <c r="D584" s="13" t="n">
        <v>700661.7</v>
      </c>
    </row>
    <row r="585" customFormat="false" ht="15.75" hidden="false" customHeight="true" outlineLevel="0" collapsed="false">
      <c r="A585" s="2" t="s">
        <v>76</v>
      </c>
      <c r="B585" s="2" t="s">
        <v>9</v>
      </c>
      <c r="C585" s="1" t="str">
        <f aca="false">A585&amp;B585</f>
        <v>3300602003</v>
      </c>
      <c r="D585" s="13" t="n">
        <v>84108.53</v>
      </c>
    </row>
    <row r="586" customFormat="false" ht="15.75" hidden="false" customHeight="true" outlineLevel="0" collapsed="false">
      <c r="A586" s="2" t="s">
        <v>76</v>
      </c>
      <c r="B586" s="2" t="s">
        <v>10</v>
      </c>
      <c r="C586" s="1" t="str">
        <f aca="false">A586&amp;B586</f>
        <v>3300602004</v>
      </c>
      <c r="D586" s="13" t="n">
        <v>-5479.86</v>
      </c>
    </row>
    <row r="587" customFormat="false" ht="15.75" hidden="false" customHeight="true" outlineLevel="0" collapsed="false">
      <c r="A587" s="2" t="s">
        <v>76</v>
      </c>
      <c r="B587" s="2" t="s">
        <v>11</v>
      </c>
      <c r="C587" s="1" t="str">
        <f aca="false">A587&amp;B587</f>
        <v>3300602005</v>
      </c>
      <c r="D587" s="13" t="n">
        <v>92037.44</v>
      </c>
    </row>
    <row r="588" customFormat="false" ht="15.75" hidden="false" customHeight="true" outlineLevel="0" collapsed="false">
      <c r="A588" s="2" t="s">
        <v>76</v>
      </c>
      <c r="B588" s="2" t="s">
        <v>12</v>
      </c>
      <c r="C588" s="1" t="str">
        <f aca="false">A588&amp;B588</f>
        <v>3300602010</v>
      </c>
      <c r="D588" s="13" t="n">
        <v>4690222.23</v>
      </c>
    </row>
    <row r="589" customFormat="false" ht="15.75" hidden="false" customHeight="true" outlineLevel="0" collapsed="false">
      <c r="A589" s="2" t="s">
        <v>76</v>
      </c>
      <c r="B589" s="2" t="s">
        <v>13</v>
      </c>
      <c r="C589" s="1" t="str">
        <f aca="false">A589&amp;B589</f>
        <v>3300602020</v>
      </c>
      <c r="D589" s="13" t="n">
        <v>742471.11</v>
      </c>
    </row>
    <row r="590" customFormat="false" ht="15.75" hidden="false" customHeight="true" outlineLevel="0" collapsed="false">
      <c r="A590" s="2" t="s">
        <v>76</v>
      </c>
      <c r="B590" s="2" t="s">
        <v>14</v>
      </c>
      <c r="C590" s="1" t="str">
        <f aca="false">A590&amp;B590</f>
        <v>3300602030</v>
      </c>
      <c r="D590" s="13" t="n">
        <v>1084411.34</v>
      </c>
    </row>
    <row r="591" customFormat="false" ht="15.75" hidden="false" customHeight="true" outlineLevel="0" collapsed="false">
      <c r="A591" s="2" t="s">
        <v>76</v>
      </c>
      <c r="B591" s="2" t="s">
        <v>42</v>
      </c>
      <c r="C591" s="1" t="str">
        <f aca="false">A591&amp;B591</f>
        <v>3300602040</v>
      </c>
      <c r="D591" s="13" t="n">
        <v>22731774.33</v>
      </c>
    </row>
    <row r="592" customFormat="false" ht="15.75" hidden="false" customHeight="true" outlineLevel="0" collapsed="false">
      <c r="A592" s="2" t="s">
        <v>76</v>
      </c>
      <c r="B592" s="2" t="s">
        <v>43</v>
      </c>
      <c r="C592" s="1" t="str">
        <f aca="false">A592&amp;B592</f>
        <v>3300602050</v>
      </c>
      <c r="D592" s="13" t="n">
        <v>820985.91</v>
      </c>
    </row>
    <row r="593" customFormat="false" ht="15.75" hidden="false" customHeight="true" outlineLevel="0" collapsed="false">
      <c r="A593" s="2" t="s">
        <v>76</v>
      </c>
      <c r="B593" s="2" t="s">
        <v>44</v>
      </c>
      <c r="C593" s="1" t="str">
        <f aca="false">A593&amp;B593</f>
        <v>3300602060</v>
      </c>
      <c r="D593" s="13" t="n">
        <v>-8063.73</v>
      </c>
    </row>
    <row r="594" customFormat="false" ht="15.75" hidden="false" customHeight="true" outlineLevel="0" collapsed="false">
      <c r="A594" s="2" t="s">
        <v>76</v>
      </c>
      <c r="B594" s="2" t="s">
        <v>15</v>
      </c>
      <c r="C594" s="1" t="str">
        <f aca="false">A594&amp;B594</f>
        <v>3300602070</v>
      </c>
      <c r="D594" s="13" t="n">
        <v>-29605336.54</v>
      </c>
    </row>
    <row r="595" customFormat="false" ht="15.75" hidden="false" customHeight="true" outlineLevel="0" collapsed="false">
      <c r="A595" s="2" t="s">
        <v>76</v>
      </c>
      <c r="B595" s="2" t="s">
        <v>45</v>
      </c>
      <c r="C595" s="1" t="str">
        <f aca="false">A595&amp;B595</f>
        <v>3300602071</v>
      </c>
      <c r="D595" s="13" t="n">
        <v>31989.32</v>
      </c>
    </row>
    <row r="596" customFormat="false" ht="15.75" hidden="false" customHeight="true" outlineLevel="0" collapsed="false">
      <c r="A596" s="2" t="s">
        <v>76</v>
      </c>
      <c r="B596" s="2" t="s">
        <v>16</v>
      </c>
      <c r="C596" s="1" t="str">
        <f aca="false">A596&amp;B596</f>
        <v>3300602072</v>
      </c>
      <c r="D596" s="13" t="n">
        <v>3344072.4</v>
      </c>
    </row>
    <row r="597" customFormat="false" ht="15.75" hidden="false" customHeight="true" outlineLevel="0" collapsed="false">
      <c r="A597" s="2" t="s">
        <v>76</v>
      </c>
      <c r="B597" s="2" t="s">
        <v>46</v>
      </c>
      <c r="C597" s="1" t="str">
        <f aca="false">A597&amp;B597</f>
        <v>3300602073</v>
      </c>
      <c r="D597" s="13" t="n">
        <v>-2772.75</v>
      </c>
    </row>
    <row r="598" customFormat="false" ht="15.75" hidden="false" customHeight="true" outlineLevel="0" collapsed="false">
      <c r="A598" s="2" t="s">
        <v>76</v>
      </c>
      <c r="B598" s="2" t="s">
        <v>47</v>
      </c>
      <c r="C598" s="1" t="str">
        <f aca="false">A598&amp;B598</f>
        <v>3300602074</v>
      </c>
      <c r="D598" s="13" t="n">
        <v>182457.6</v>
      </c>
    </row>
    <row r="599" customFormat="false" ht="15.75" hidden="false" customHeight="true" outlineLevel="0" collapsed="false">
      <c r="A599" s="2" t="s">
        <v>76</v>
      </c>
      <c r="B599" s="2" t="s">
        <v>48</v>
      </c>
      <c r="C599" s="1" t="str">
        <f aca="false">A599&amp;B599</f>
        <v>3300602080</v>
      </c>
      <c r="D599" s="13" t="n">
        <v>25310570.04</v>
      </c>
    </row>
    <row r="600" customFormat="false" ht="15.75" hidden="false" customHeight="true" outlineLevel="0" collapsed="false">
      <c r="A600" s="2" t="s">
        <v>76</v>
      </c>
      <c r="B600" s="2" t="s">
        <v>17</v>
      </c>
      <c r="C600" s="1" t="str">
        <f aca="false">A600&amp;B600</f>
        <v>3300603000</v>
      </c>
      <c r="D600" s="13" t="n">
        <v>5278393.57</v>
      </c>
    </row>
    <row r="601" customFormat="false" ht="15.75" hidden="false" customHeight="true" outlineLevel="0" collapsed="false">
      <c r="A601" s="2" t="s">
        <v>76</v>
      </c>
      <c r="B601" s="2" t="s">
        <v>71</v>
      </c>
      <c r="C601" s="1" t="str">
        <f aca="false">A601&amp;B601</f>
        <v>3300603001</v>
      </c>
      <c r="D601" s="13" t="n">
        <v>59957.69</v>
      </c>
    </row>
    <row r="602" customFormat="false" ht="15.75" hidden="false" customHeight="true" outlineLevel="0" collapsed="false">
      <c r="A602" s="2" t="s">
        <v>76</v>
      </c>
      <c r="B602" s="2" t="s">
        <v>78</v>
      </c>
      <c r="C602" s="1" t="str">
        <f aca="false">A602&amp;B602</f>
        <v>3300604000</v>
      </c>
      <c r="D602" s="13" t="n">
        <v>942170.16</v>
      </c>
    </row>
    <row r="603" customFormat="false" ht="15.75" hidden="false" customHeight="true" outlineLevel="0" collapsed="false">
      <c r="A603" s="2" t="s">
        <v>76</v>
      </c>
      <c r="B603" s="2" t="s">
        <v>22</v>
      </c>
      <c r="C603" s="1" t="str">
        <f aca="false">A603&amp;B603</f>
        <v>3300604010</v>
      </c>
      <c r="D603" s="13" t="n">
        <v>7381427.34</v>
      </c>
    </row>
    <row r="604" customFormat="false" ht="15.75" hidden="false" customHeight="true" outlineLevel="0" collapsed="false">
      <c r="A604" s="2" t="s">
        <v>76</v>
      </c>
      <c r="B604" s="2" t="s">
        <v>21</v>
      </c>
      <c r="C604" s="1" t="str">
        <f aca="false">A604&amp;B604</f>
        <v>3300604020</v>
      </c>
      <c r="D604" s="13" t="n">
        <v>7823184.81</v>
      </c>
    </row>
    <row r="605" customFormat="false" ht="15.75" hidden="false" customHeight="true" outlineLevel="0" collapsed="false">
      <c r="A605" s="2" t="s">
        <v>76</v>
      </c>
      <c r="B605" s="2" t="s">
        <v>33</v>
      </c>
      <c r="C605" s="1" t="str">
        <f aca="false">A605&amp;B605</f>
        <v>3300604031</v>
      </c>
      <c r="D605" s="13" t="n">
        <v>866509.2</v>
      </c>
    </row>
    <row r="606" customFormat="false" ht="15.75" hidden="false" customHeight="true" outlineLevel="0" collapsed="false">
      <c r="A606" s="2" t="s">
        <v>76</v>
      </c>
      <c r="B606" s="2" t="s">
        <v>19</v>
      </c>
      <c r="C606" s="1" t="str">
        <f aca="false">A606&amp;B606</f>
        <v>3300604040</v>
      </c>
      <c r="D606" s="13" t="n">
        <v>8333444.84</v>
      </c>
    </row>
    <row r="607" customFormat="false" ht="15.75" hidden="false" customHeight="true" outlineLevel="0" collapsed="false">
      <c r="A607" s="2" t="s">
        <v>76</v>
      </c>
      <c r="B607" s="2" t="s">
        <v>50</v>
      </c>
      <c r="C607" s="1" t="str">
        <f aca="false">A607&amp;B607</f>
        <v>3300604060</v>
      </c>
      <c r="D607" s="13" t="n">
        <v>335685.88</v>
      </c>
    </row>
    <row r="608" customFormat="false" ht="15.75" hidden="false" customHeight="true" outlineLevel="0" collapsed="false">
      <c r="A608" s="2" t="s">
        <v>76</v>
      </c>
      <c r="B608" s="2" t="s">
        <v>174</v>
      </c>
      <c r="C608" s="1" t="str">
        <f aca="false">A608&amp;B608</f>
        <v>3300604900</v>
      </c>
      <c r="D608" s="13" t="n">
        <v>99</v>
      </c>
    </row>
    <row r="609" customFormat="false" ht="15.75" hidden="false" customHeight="true" outlineLevel="0" collapsed="false">
      <c r="A609" s="2" t="s">
        <v>76</v>
      </c>
      <c r="B609" s="2" t="s">
        <v>51</v>
      </c>
      <c r="C609" s="1" t="str">
        <f aca="false">A609&amp;B609</f>
        <v>3300605000</v>
      </c>
      <c r="D609" s="13" t="n">
        <v>251441.07</v>
      </c>
    </row>
    <row r="610" customFormat="false" ht="15.75" hidden="false" customHeight="true" outlineLevel="0" collapsed="false">
      <c r="A610" s="2" t="s">
        <v>76</v>
      </c>
      <c r="B610" s="2" t="s">
        <v>53</v>
      </c>
      <c r="C610" s="1" t="str">
        <f aca="false">A610&amp;B610</f>
        <v>3300605020</v>
      </c>
      <c r="D610" s="13" t="n">
        <v>1604141.72</v>
      </c>
    </row>
    <row r="611" customFormat="false" ht="15.75" hidden="false" customHeight="true" outlineLevel="0" collapsed="false">
      <c r="A611" s="2" t="s">
        <v>76</v>
      </c>
      <c r="B611" s="2" t="s">
        <v>54</v>
      </c>
      <c r="C611" s="1" t="str">
        <f aca="false">A611&amp;B611</f>
        <v>3300606000</v>
      </c>
      <c r="D611" s="13" t="n">
        <v>31057.45</v>
      </c>
    </row>
    <row r="612" customFormat="false" ht="15.75" hidden="false" customHeight="true" outlineLevel="0" collapsed="false">
      <c r="A612" s="2" t="s">
        <v>76</v>
      </c>
      <c r="B612" s="2" t="s">
        <v>55</v>
      </c>
      <c r="C612" s="1" t="str">
        <f aca="false">A612&amp;B612</f>
        <v>3300606010</v>
      </c>
      <c r="D612" s="13" t="n">
        <v>30063.5</v>
      </c>
    </row>
    <row r="613" customFormat="false" ht="15.75" hidden="false" customHeight="true" outlineLevel="0" collapsed="false">
      <c r="A613" s="2" t="s">
        <v>76</v>
      </c>
      <c r="B613" s="2" t="s">
        <v>31</v>
      </c>
      <c r="C613" s="1" t="str">
        <f aca="false">A613&amp;B613</f>
        <v>3300607000</v>
      </c>
      <c r="D613" s="13" t="n">
        <v>355505.02</v>
      </c>
    </row>
    <row r="614" customFormat="false" ht="15.75" hidden="false" customHeight="true" outlineLevel="0" collapsed="false">
      <c r="A614" s="2" t="s">
        <v>76</v>
      </c>
      <c r="B614" s="2" t="s">
        <v>32</v>
      </c>
      <c r="C614" s="1" t="str">
        <f aca="false">A614&amp;B614</f>
        <v>3300607010</v>
      </c>
      <c r="D614" s="13" t="n">
        <v>131218.43</v>
      </c>
    </row>
    <row r="615" customFormat="false" ht="15.75" hidden="false" customHeight="true" outlineLevel="0" collapsed="false">
      <c r="A615" s="2" t="s">
        <v>76</v>
      </c>
      <c r="B615" s="2" t="s">
        <v>61</v>
      </c>
      <c r="C615" s="1" t="str">
        <f aca="false">A615&amp;B615</f>
        <v>3300608000</v>
      </c>
      <c r="D615" s="13" t="n">
        <v>8349605.07</v>
      </c>
    </row>
    <row r="616" customFormat="false" ht="15.75" hidden="false" customHeight="true" outlineLevel="0" collapsed="false">
      <c r="A616" s="2" t="s">
        <v>76</v>
      </c>
      <c r="B616" s="2" t="s">
        <v>59</v>
      </c>
      <c r="C616" s="1" t="str">
        <f aca="false">A616&amp;B616</f>
        <v>3300608010</v>
      </c>
      <c r="D616" s="13" t="n">
        <v>13387909.38</v>
      </c>
    </row>
    <row r="617" customFormat="false" ht="15.75" hidden="false" customHeight="true" outlineLevel="0" collapsed="false">
      <c r="A617" s="2" t="s">
        <v>76</v>
      </c>
      <c r="B617" s="2" t="s">
        <v>23</v>
      </c>
      <c r="C617" s="1" t="str">
        <f aca="false">A617&amp;B617</f>
        <v>3300608020</v>
      </c>
      <c r="D617" s="13" t="n">
        <v>30961701.88</v>
      </c>
    </row>
    <row r="618" customFormat="false" ht="15.75" hidden="false" customHeight="true" outlineLevel="0" collapsed="false">
      <c r="A618" s="2" t="s">
        <v>76</v>
      </c>
      <c r="B618" s="2" t="s">
        <v>79</v>
      </c>
      <c r="C618" s="1" t="str">
        <f aca="false">A618&amp;B618</f>
        <v>3300608030</v>
      </c>
      <c r="D618" s="13" t="n">
        <v>1951126.68</v>
      </c>
    </row>
    <row r="619" customFormat="false" ht="15.75" hidden="false" customHeight="true" outlineLevel="0" collapsed="false">
      <c r="A619" s="2" t="s">
        <v>76</v>
      </c>
      <c r="B619" s="2" t="s">
        <v>60</v>
      </c>
      <c r="C619" s="1" t="str">
        <f aca="false">A619&amp;B619</f>
        <v>3300608040</v>
      </c>
      <c r="D619" s="13" t="n">
        <v>7265001.84</v>
      </c>
    </row>
    <row r="620" customFormat="false" ht="15.75" hidden="false" customHeight="true" outlineLevel="0" collapsed="false">
      <c r="A620" s="2" t="s">
        <v>76</v>
      </c>
      <c r="B620" s="2" t="s">
        <v>63</v>
      </c>
      <c r="C620" s="1" t="str">
        <f aca="false">A620&amp;B620</f>
        <v>3300609000</v>
      </c>
      <c r="D620" s="13" t="n">
        <v>738246.1</v>
      </c>
    </row>
    <row r="621" customFormat="false" ht="15.75" hidden="false" customHeight="true" outlineLevel="0" collapsed="false">
      <c r="A621" s="2" t="s">
        <v>76</v>
      </c>
      <c r="B621" s="2" t="s">
        <v>72</v>
      </c>
      <c r="C621" s="1" t="str">
        <f aca="false">A621&amp;B621</f>
        <v>3300609001</v>
      </c>
      <c r="D621" s="13" t="n">
        <v>90932.66</v>
      </c>
    </row>
    <row r="622" customFormat="false" ht="15.75" hidden="false" customHeight="true" outlineLevel="0" collapsed="false">
      <c r="A622" s="2" t="s">
        <v>76</v>
      </c>
      <c r="B622" s="2" t="s">
        <v>27</v>
      </c>
      <c r="C622" s="1" t="str">
        <f aca="false">A622&amp;B622</f>
        <v>3300609002</v>
      </c>
      <c r="D622" s="13" t="n">
        <v>1309643.71</v>
      </c>
    </row>
    <row r="623" customFormat="false" ht="15.75" hidden="false" customHeight="true" outlineLevel="0" collapsed="false">
      <c r="A623" s="2" t="s">
        <v>76</v>
      </c>
      <c r="B623" s="2" t="s">
        <v>28</v>
      </c>
      <c r="C623" s="1" t="str">
        <f aca="false">A623&amp;B623</f>
        <v>3300609003</v>
      </c>
      <c r="D623" s="13" t="n">
        <v>1271800.12</v>
      </c>
    </row>
    <row r="624" customFormat="false" ht="15.75" hidden="false" customHeight="true" outlineLevel="0" collapsed="false">
      <c r="A624" s="2" t="s">
        <v>76</v>
      </c>
      <c r="B624" s="2" t="s">
        <v>24</v>
      </c>
      <c r="C624" s="1" t="str">
        <f aca="false">A624&amp;B624</f>
        <v>3300609004</v>
      </c>
      <c r="D624" s="13" t="n">
        <v>1198267.2</v>
      </c>
    </row>
    <row r="625" customFormat="false" ht="15.75" hidden="false" customHeight="true" outlineLevel="0" collapsed="false">
      <c r="A625" s="2" t="s">
        <v>76</v>
      </c>
      <c r="B625" s="2" t="s">
        <v>25</v>
      </c>
      <c r="C625" s="1" t="str">
        <f aca="false">A625&amp;B625</f>
        <v>3300609005</v>
      </c>
      <c r="D625" s="13" t="n">
        <v>352106.77</v>
      </c>
    </row>
    <row r="626" customFormat="false" ht="15.75" hidden="false" customHeight="true" outlineLevel="0" collapsed="false">
      <c r="A626" s="2" t="s">
        <v>76</v>
      </c>
      <c r="B626" s="2" t="s">
        <v>26</v>
      </c>
      <c r="C626" s="1" t="str">
        <f aca="false">A626&amp;B626</f>
        <v>3300609006</v>
      </c>
      <c r="D626" s="13" t="n">
        <v>10209.58</v>
      </c>
    </row>
    <row r="627" customFormat="false" ht="15.75" hidden="false" customHeight="true" outlineLevel="0" collapsed="false">
      <c r="A627" s="2" t="s">
        <v>76</v>
      </c>
      <c r="B627" s="2" t="s">
        <v>80</v>
      </c>
      <c r="C627" s="1" t="str">
        <f aca="false">A627&amp;B627</f>
        <v>3300609007</v>
      </c>
      <c r="D627" s="13" t="n">
        <v>984221.93</v>
      </c>
    </row>
    <row r="628" customFormat="false" ht="15.75" hidden="false" customHeight="true" outlineLevel="0" collapsed="false">
      <c r="A628" s="2" t="s">
        <v>76</v>
      </c>
      <c r="B628" s="2" t="s">
        <v>37</v>
      </c>
      <c r="C628" s="1" t="str">
        <f aca="false">A628&amp;B628</f>
        <v>3300609008</v>
      </c>
      <c r="D628" s="13" t="n">
        <v>164730.19</v>
      </c>
    </row>
    <row r="629" customFormat="false" ht="15.75" hidden="false" customHeight="true" outlineLevel="0" collapsed="false">
      <c r="A629" s="2" t="s">
        <v>76</v>
      </c>
      <c r="B629" s="2" t="s">
        <v>29</v>
      </c>
      <c r="C629" s="1" t="str">
        <f aca="false">A629&amp;B629</f>
        <v>3300609009</v>
      </c>
      <c r="D629" s="13" t="n">
        <v>326175.07</v>
      </c>
    </row>
    <row r="630" customFormat="false" ht="15.75" hidden="false" customHeight="true" outlineLevel="0" collapsed="false">
      <c r="A630" s="2" t="s">
        <v>76</v>
      </c>
      <c r="B630" s="2" t="s">
        <v>30</v>
      </c>
      <c r="C630" s="1" t="str">
        <f aca="false">A630&amp;B630</f>
        <v>3300609010</v>
      </c>
      <c r="D630" s="13" t="n">
        <v>365110.86</v>
      </c>
    </row>
    <row r="631" customFormat="false" ht="15.75" hidden="false" customHeight="true" outlineLevel="0" collapsed="false">
      <c r="A631" s="2" t="s">
        <v>76</v>
      </c>
      <c r="B631" s="2" t="s">
        <v>81</v>
      </c>
      <c r="C631" s="1" t="str">
        <f aca="false">A631&amp;B631</f>
        <v>3300609011</v>
      </c>
      <c r="D631" s="13" t="n">
        <v>1998</v>
      </c>
    </row>
    <row r="632" customFormat="false" ht="15.75" hidden="false" customHeight="true" outlineLevel="0" collapsed="false">
      <c r="A632" s="2" t="s">
        <v>76</v>
      </c>
      <c r="B632" s="2" t="s">
        <v>39</v>
      </c>
      <c r="C632" s="1" t="str">
        <f aca="false">A632&amp;B632</f>
        <v>3300609012</v>
      </c>
      <c r="D632" s="13" t="n">
        <v>181384.58</v>
      </c>
    </row>
    <row r="633" customFormat="false" ht="15.75" hidden="false" customHeight="true" outlineLevel="0" collapsed="false">
      <c r="A633" s="2" t="s">
        <v>76</v>
      </c>
      <c r="B633" s="2" t="s">
        <v>303</v>
      </c>
      <c r="C633" s="1" t="str">
        <f aca="false">A633&amp;B633</f>
        <v>3300609900</v>
      </c>
      <c r="D633" s="13" t="n">
        <v>113793.72</v>
      </c>
    </row>
    <row r="634" customFormat="false" ht="15.75" hidden="false" customHeight="true" outlineLevel="0" collapsed="false">
      <c r="A634" s="2" t="s">
        <v>76</v>
      </c>
      <c r="B634" s="2" t="s">
        <v>82</v>
      </c>
      <c r="C634" s="1" t="str">
        <f aca="false">A634&amp;B634</f>
        <v>3300610002</v>
      </c>
      <c r="D634" s="13" t="n">
        <v>590838.36</v>
      </c>
    </row>
    <row r="635" customFormat="false" ht="15.75" hidden="false" customHeight="true" outlineLevel="0" collapsed="false">
      <c r="A635" s="2" t="s">
        <v>76</v>
      </c>
      <c r="B635" s="2" t="s">
        <v>83</v>
      </c>
      <c r="C635" s="1" t="str">
        <f aca="false">A635&amp;B635</f>
        <v>3300610005</v>
      </c>
      <c r="D635" s="13" t="n">
        <v>-11796.92</v>
      </c>
    </row>
    <row r="636" customFormat="false" ht="15.75" hidden="false" customHeight="true" outlineLevel="0" collapsed="false">
      <c r="A636" s="2" t="s">
        <v>76</v>
      </c>
      <c r="B636" s="2" t="s">
        <v>177</v>
      </c>
      <c r="C636" s="1" t="str">
        <f aca="false">A636&amp;B636</f>
        <v>3300630002</v>
      </c>
      <c r="D636" s="13" t="n">
        <v>1273411.6</v>
      </c>
    </row>
    <row r="637" customFormat="false" ht="15.75" hidden="false" customHeight="true" outlineLevel="0" collapsed="false">
      <c r="A637" s="2" t="s">
        <v>76</v>
      </c>
      <c r="B637" s="2" t="s">
        <v>304</v>
      </c>
      <c r="C637" s="1" t="str">
        <f aca="false">A637&amp;B637</f>
        <v>3300630004</v>
      </c>
      <c r="D637" s="13" t="n">
        <v>1326139.86</v>
      </c>
    </row>
    <row r="638" customFormat="false" ht="15.75" hidden="false" customHeight="true" outlineLevel="0" collapsed="false">
      <c r="A638" s="2" t="s">
        <v>76</v>
      </c>
      <c r="B638" s="2" t="s">
        <v>178</v>
      </c>
      <c r="C638" s="1" t="str">
        <f aca="false">A638&amp;B638</f>
        <v>3300630006</v>
      </c>
      <c r="D638" s="13" t="n">
        <v>8914779.38</v>
      </c>
    </row>
    <row r="639" customFormat="false" ht="15.75" hidden="false" customHeight="true" outlineLevel="0" collapsed="false">
      <c r="A639" s="2" t="s">
        <v>76</v>
      </c>
      <c r="B639" s="2" t="s">
        <v>257</v>
      </c>
      <c r="C639" s="1" t="str">
        <f aca="false">A639&amp;B639</f>
        <v>3300630101</v>
      </c>
      <c r="D639" s="13" t="n">
        <v>10760312.26</v>
      </c>
    </row>
    <row r="640" customFormat="false" ht="15.75" hidden="false" customHeight="true" outlineLevel="0" collapsed="false">
      <c r="A640" s="2" t="s">
        <v>76</v>
      </c>
      <c r="B640" s="2" t="s">
        <v>179</v>
      </c>
      <c r="C640" s="1" t="str">
        <f aca="false">A640&amp;B640</f>
        <v>3300640001</v>
      </c>
      <c r="D640" s="13" t="n">
        <v>513667.63</v>
      </c>
    </row>
    <row r="641" customFormat="false" ht="15.75" hidden="false" customHeight="true" outlineLevel="0" collapsed="false">
      <c r="A641" s="2" t="s">
        <v>76</v>
      </c>
      <c r="B641" s="2" t="s">
        <v>305</v>
      </c>
      <c r="C641" s="1" t="str">
        <f aca="false">A641&amp;B641</f>
        <v>3300640201</v>
      </c>
      <c r="D641" s="13" t="n">
        <v>574.8</v>
      </c>
    </row>
    <row r="642" customFormat="false" ht="15.75" hidden="false" customHeight="true" outlineLevel="0" collapsed="false">
      <c r="A642" s="2" t="s">
        <v>76</v>
      </c>
      <c r="B642" s="2" t="s">
        <v>181</v>
      </c>
      <c r="C642" s="1" t="str">
        <f aca="false">A642&amp;B642</f>
        <v>3300640900</v>
      </c>
      <c r="D642" s="13" t="n">
        <v>2149449.76</v>
      </c>
    </row>
    <row r="643" customFormat="false" ht="15.75" hidden="false" customHeight="true" outlineLevel="0" collapsed="false">
      <c r="A643" s="2" t="s">
        <v>76</v>
      </c>
      <c r="B643" s="2" t="s">
        <v>182</v>
      </c>
      <c r="C643" s="1" t="str">
        <f aca="false">A643&amp;B643</f>
        <v>3300690000</v>
      </c>
      <c r="D643" s="13" t="n">
        <v>-373234</v>
      </c>
    </row>
    <row r="644" customFormat="false" ht="15.75" hidden="false" customHeight="true" outlineLevel="0" collapsed="false">
      <c r="A644" s="2" t="s">
        <v>76</v>
      </c>
      <c r="B644" s="2" t="s">
        <v>20</v>
      </c>
      <c r="C644" s="1" t="str">
        <f aca="false">A644&amp;B644</f>
        <v>3300910001</v>
      </c>
      <c r="D644" s="13" t="n">
        <v>0</v>
      </c>
    </row>
    <row r="645" customFormat="false" ht="15.75" hidden="false" customHeight="true" outlineLevel="0" collapsed="false">
      <c r="A645" s="2" t="s">
        <v>76</v>
      </c>
      <c r="B645" s="2" t="s">
        <v>34</v>
      </c>
      <c r="C645" s="1" t="str">
        <f aca="false">A645&amp;B645</f>
        <v>3300910002</v>
      </c>
      <c r="D645" s="13" t="n">
        <v>0</v>
      </c>
    </row>
    <row r="646" customFormat="false" ht="15.75" hidden="false" customHeight="true" outlineLevel="0" collapsed="false">
      <c r="A646" s="2" t="s">
        <v>76</v>
      </c>
      <c r="B646" s="2" t="s">
        <v>18</v>
      </c>
      <c r="C646" s="1" t="str">
        <f aca="false">A646&amp;B646</f>
        <v>3300910003</v>
      </c>
      <c r="D646" s="13" t="n">
        <v>0</v>
      </c>
    </row>
    <row r="647" customFormat="false" ht="15.75" hidden="false" customHeight="true" outlineLevel="0" collapsed="false">
      <c r="A647" s="2" t="s">
        <v>76</v>
      </c>
      <c r="B647" s="2" t="s">
        <v>35</v>
      </c>
      <c r="C647" s="1" t="str">
        <f aca="false">A647&amp;B647</f>
        <v>3300910004</v>
      </c>
      <c r="D647" s="13" t="n">
        <v>0</v>
      </c>
    </row>
    <row r="648" customFormat="false" ht="15.75" hidden="false" customHeight="true" outlineLevel="0" collapsed="false">
      <c r="A648" s="2" t="s">
        <v>76</v>
      </c>
      <c r="B648" s="2" t="s">
        <v>183</v>
      </c>
      <c r="C648" s="1" t="str">
        <f aca="false">A648&amp;B648</f>
        <v>3300990000</v>
      </c>
      <c r="D648" s="13" t="n">
        <v>0</v>
      </c>
    </row>
    <row r="649" customFormat="false" ht="15.75" hidden="false" customHeight="true" outlineLevel="0" collapsed="false">
      <c r="A649" s="2" t="s">
        <v>76</v>
      </c>
      <c r="B649" s="2" t="s">
        <v>184</v>
      </c>
      <c r="C649" s="1" t="str">
        <f aca="false">A649&amp;B649</f>
        <v>3300990002</v>
      </c>
      <c r="D649" s="13" t="n">
        <v>0</v>
      </c>
    </row>
    <row r="650" customFormat="false" ht="15.75" hidden="false" customHeight="true" outlineLevel="0" collapsed="false">
      <c r="A650" s="2" t="s">
        <v>76</v>
      </c>
      <c r="B650" s="2" t="s">
        <v>185</v>
      </c>
      <c r="C650" s="1" t="str">
        <f aca="false">A650&amp;B650</f>
        <v>3300990003</v>
      </c>
      <c r="D650" s="13" t="n">
        <v>0</v>
      </c>
    </row>
    <row r="651" customFormat="false" ht="15.75" hidden="false" customHeight="true" outlineLevel="0" collapsed="false">
      <c r="A651" s="2" t="s">
        <v>76</v>
      </c>
      <c r="B651" s="2" t="s">
        <v>227</v>
      </c>
      <c r="C651" s="1" t="str">
        <f aca="false">A651&amp;B651</f>
        <v>3300990099</v>
      </c>
      <c r="D651" s="13" t="n">
        <v>0</v>
      </c>
    </row>
    <row r="652" customFormat="false" ht="15.75" hidden="false" customHeight="true" outlineLevel="0" collapsed="false">
      <c r="A652" s="2" t="s">
        <v>84</v>
      </c>
      <c r="B652" s="2" t="s">
        <v>306</v>
      </c>
      <c r="C652" s="1" t="str">
        <f aca="false">A652&amp;B652</f>
        <v>3320101060</v>
      </c>
      <c r="D652" s="13" t="n">
        <v>12219.36</v>
      </c>
    </row>
    <row r="653" customFormat="false" ht="15.75" hidden="false" customHeight="true" outlineLevel="0" collapsed="false">
      <c r="A653" s="2" t="s">
        <v>84</v>
      </c>
      <c r="B653" s="2" t="s">
        <v>123</v>
      </c>
      <c r="C653" s="1" t="str">
        <f aca="false">A653&amp;B653</f>
        <v>3320243000</v>
      </c>
      <c r="D653" s="13" t="n">
        <v>5085421.97</v>
      </c>
    </row>
    <row r="654" customFormat="false" ht="15.75" hidden="false" customHeight="true" outlineLevel="0" collapsed="false">
      <c r="A654" s="2" t="s">
        <v>84</v>
      </c>
      <c r="B654" s="2" t="s">
        <v>124</v>
      </c>
      <c r="C654" s="1" t="str">
        <f aca="false">A654&amp;B654</f>
        <v>3320243003</v>
      </c>
      <c r="D654" s="13" t="n">
        <v>1733677.77</v>
      </c>
    </row>
    <row r="655" customFormat="false" ht="15.75" hidden="false" customHeight="true" outlineLevel="0" collapsed="false">
      <c r="A655" s="2" t="s">
        <v>84</v>
      </c>
      <c r="B655" s="2" t="s">
        <v>125</v>
      </c>
      <c r="C655" s="1" t="str">
        <f aca="false">A655&amp;B655</f>
        <v>3320243005</v>
      </c>
      <c r="D655" s="13" t="n">
        <v>-534399</v>
      </c>
    </row>
    <row r="656" customFormat="false" ht="15.75" hidden="false" customHeight="true" outlineLevel="0" collapsed="false">
      <c r="A656" s="2" t="s">
        <v>84</v>
      </c>
      <c r="B656" s="2" t="s">
        <v>126</v>
      </c>
      <c r="C656" s="1" t="str">
        <f aca="false">A656&amp;B656</f>
        <v>3320300002</v>
      </c>
      <c r="D656" s="13" t="n">
        <v>-5050001</v>
      </c>
    </row>
    <row r="657" customFormat="false" ht="15.75" hidden="false" customHeight="true" outlineLevel="0" collapsed="false">
      <c r="A657" s="2" t="s">
        <v>84</v>
      </c>
      <c r="B657" s="2" t="s">
        <v>127</v>
      </c>
      <c r="C657" s="1" t="str">
        <f aca="false">A657&amp;B657</f>
        <v>3320320000</v>
      </c>
      <c r="D657" s="13" t="n">
        <v>-1246928.05</v>
      </c>
    </row>
    <row r="658" customFormat="false" ht="15.75" hidden="false" customHeight="true" outlineLevel="0" collapsed="false">
      <c r="A658" s="2" t="s">
        <v>84</v>
      </c>
      <c r="B658" s="2" t="s">
        <v>223</v>
      </c>
      <c r="C658" s="1" t="str">
        <f aca="false">A658&amp;B658</f>
        <v>3320511000</v>
      </c>
      <c r="D658" s="13" t="n">
        <v>-101.05</v>
      </c>
    </row>
    <row r="659" customFormat="false" ht="15.75" hidden="false" customHeight="true" outlineLevel="0" collapsed="false">
      <c r="A659" s="2" t="s">
        <v>84</v>
      </c>
      <c r="B659" s="2" t="s">
        <v>37</v>
      </c>
      <c r="C659" s="1" t="str">
        <f aca="false">A659&amp;B659</f>
        <v>3320609008</v>
      </c>
      <c r="D659" s="13" t="n">
        <v>110</v>
      </c>
    </row>
    <row r="660" customFormat="false" ht="15.75" hidden="false" customHeight="true" outlineLevel="0" collapsed="false">
      <c r="A660" s="2" t="s">
        <v>84</v>
      </c>
      <c r="B660" s="2" t="s">
        <v>183</v>
      </c>
      <c r="C660" s="1" t="str">
        <f aca="false">A660&amp;B660</f>
        <v>3320990000</v>
      </c>
      <c r="D660" s="13" t="n">
        <v>0</v>
      </c>
    </row>
    <row r="661" customFormat="false" ht="15.75" hidden="false" customHeight="true" outlineLevel="0" collapsed="false">
      <c r="A661" s="2" t="s">
        <v>85</v>
      </c>
      <c r="B661" s="2" t="s">
        <v>307</v>
      </c>
      <c r="C661" s="1" t="str">
        <f aca="false">A661&amp;B661</f>
        <v>3420110005</v>
      </c>
      <c r="D661" s="13" t="n">
        <v>2938542.52</v>
      </c>
    </row>
    <row r="662" customFormat="false" ht="15.75" hidden="false" customHeight="true" outlineLevel="0" collapsed="false">
      <c r="A662" s="2" t="s">
        <v>85</v>
      </c>
      <c r="B662" s="2" t="s">
        <v>308</v>
      </c>
      <c r="C662" s="1" t="str">
        <f aca="false">A662&amp;B662</f>
        <v>3420110007</v>
      </c>
      <c r="D662" s="13" t="n">
        <v>0</v>
      </c>
    </row>
    <row r="663" customFormat="false" ht="15.75" hidden="false" customHeight="true" outlineLevel="0" collapsed="false">
      <c r="A663" s="2" t="s">
        <v>85</v>
      </c>
      <c r="B663" s="2" t="s">
        <v>261</v>
      </c>
      <c r="C663" s="1" t="str">
        <f aca="false">A663&amp;B663</f>
        <v>3420110050</v>
      </c>
      <c r="D663" s="13" t="n">
        <v>828897.41</v>
      </c>
    </row>
    <row r="664" customFormat="false" ht="15.75" hidden="false" customHeight="true" outlineLevel="0" collapsed="false">
      <c r="A664" s="2" t="s">
        <v>85</v>
      </c>
      <c r="B664" s="2" t="s">
        <v>309</v>
      </c>
      <c r="C664" s="1" t="str">
        <f aca="false">A664&amp;B664</f>
        <v>3420110051</v>
      </c>
      <c r="D664" s="13" t="n">
        <v>-1855.85</v>
      </c>
    </row>
    <row r="665" customFormat="false" ht="15.75" hidden="false" customHeight="true" outlineLevel="0" collapsed="false">
      <c r="A665" s="2" t="s">
        <v>85</v>
      </c>
      <c r="B665" s="2" t="s">
        <v>310</v>
      </c>
      <c r="C665" s="1" t="str">
        <f aca="false">A665&amp;B665</f>
        <v>3420110055</v>
      </c>
      <c r="D665" s="13" t="n">
        <v>-284124.48</v>
      </c>
    </row>
    <row r="666" customFormat="false" ht="15.75" hidden="false" customHeight="true" outlineLevel="0" collapsed="false">
      <c r="A666" s="2" t="s">
        <v>85</v>
      </c>
      <c r="B666" s="2" t="s">
        <v>129</v>
      </c>
      <c r="C666" s="1" t="str">
        <f aca="false">A666&amp;B666</f>
        <v>3420110098</v>
      </c>
      <c r="D666" s="13" t="n">
        <v>1078.35</v>
      </c>
    </row>
    <row r="667" customFormat="false" ht="15.75" hidden="false" customHeight="true" outlineLevel="0" collapsed="false">
      <c r="A667" s="2" t="s">
        <v>85</v>
      </c>
      <c r="B667" s="2" t="s">
        <v>311</v>
      </c>
      <c r="C667" s="1" t="str">
        <f aca="false">A667&amp;B667</f>
        <v>3420111002</v>
      </c>
      <c r="D667" s="13" t="n">
        <v>-2177267.76</v>
      </c>
    </row>
    <row r="668" customFormat="false" ht="15.75" hidden="false" customHeight="true" outlineLevel="0" collapsed="false">
      <c r="A668" s="2" t="s">
        <v>85</v>
      </c>
      <c r="B668" s="2" t="s">
        <v>239</v>
      </c>
      <c r="C668" s="1" t="str">
        <f aca="false">A668&amp;B668</f>
        <v>3420112000</v>
      </c>
      <c r="D668" s="13" t="n">
        <v>-39463.08</v>
      </c>
    </row>
    <row r="669" customFormat="false" ht="15.75" hidden="false" customHeight="true" outlineLevel="0" collapsed="false">
      <c r="A669" s="2" t="s">
        <v>85</v>
      </c>
      <c r="B669" s="2" t="s">
        <v>240</v>
      </c>
      <c r="C669" s="1" t="str">
        <f aca="false">A669&amp;B669</f>
        <v>3420112001</v>
      </c>
      <c r="D669" s="13" t="n">
        <v>149290.27</v>
      </c>
    </row>
    <row r="670" customFormat="false" ht="15.75" hidden="false" customHeight="true" outlineLevel="0" collapsed="false">
      <c r="A670" s="2" t="s">
        <v>85</v>
      </c>
      <c r="B670" s="2" t="s">
        <v>312</v>
      </c>
      <c r="C670" s="1" t="str">
        <f aca="false">A670&amp;B670</f>
        <v>3420113090</v>
      </c>
      <c r="D670" s="13" t="n">
        <v>57845.95</v>
      </c>
    </row>
    <row r="671" customFormat="false" ht="15.75" hidden="false" customHeight="true" outlineLevel="0" collapsed="false">
      <c r="A671" s="2" t="s">
        <v>85</v>
      </c>
      <c r="B671" s="2" t="s">
        <v>131</v>
      </c>
      <c r="C671" s="1" t="str">
        <f aca="false">A671&amp;B671</f>
        <v>3420120000</v>
      </c>
      <c r="D671" s="13" t="n">
        <v>1752733.64</v>
      </c>
    </row>
    <row r="672" customFormat="false" ht="15.75" hidden="false" customHeight="true" outlineLevel="0" collapsed="false">
      <c r="A672" s="2" t="s">
        <v>85</v>
      </c>
      <c r="B672" s="2" t="s">
        <v>133</v>
      </c>
      <c r="C672" s="1" t="str">
        <f aca="false">A672&amp;B672</f>
        <v>3420140002</v>
      </c>
      <c r="D672" s="13" t="n">
        <v>288751.55</v>
      </c>
    </row>
    <row r="673" customFormat="false" ht="15.75" hidden="false" customHeight="true" outlineLevel="0" collapsed="false">
      <c r="A673" s="2" t="s">
        <v>85</v>
      </c>
      <c r="B673" s="2" t="s">
        <v>138</v>
      </c>
      <c r="C673" s="1" t="str">
        <f aca="false">A673&amp;B673</f>
        <v>3420160201</v>
      </c>
      <c r="D673" s="13" t="n">
        <v>0</v>
      </c>
    </row>
    <row r="674" customFormat="false" ht="15.75" hidden="false" customHeight="true" outlineLevel="0" collapsed="false">
      <c r="A674" s="2" t="s">
        <v>85</v>
      </c>
      <c r="B674" s="2" t="s">
        <v>140</v>
      </c>
      <c r="C674" s="1" t="str">
        <f aca="false">A674&amp;B674</f>
        <v>3420160251</v>
      </c>
      <c r="D674" s="13" t="n">
        <v>0</v>
      </c>
    </row>
    <row r="675" customFormat="false" ht="15.75" hidden="false" customHeight="true" outlineLevel="0" collapsed="false">
      <c r="A675" s="2" t="s">
        <v>85</v>
      </c>
      <c r="B675" s="2" t="s">
        <v>242</v>
      </c>
      <c r="C675" s="1" t="str">
        <f aca="false">A675&amp;B675</f>
        <v>3420165201</v>
      </c>
      <c r="D675" s="13" t="n">
        <v>433472.04</v>
      </c>
    </row>
    <row r="676" customFormat="false" ht="15.75" hidden="false" customHeight="true" outlineLevel="0" collapsed="false">
      <c r="A676" s="2" t="s">
        <v>85</v>
      </c>
      <c r="B676" s="2" t="s">
        <v>243</v>
      </c>
      <c r="C676" s="1" t="str">
        <f aca="false">A676&amp;B676</f>
        <v>3420170200</v>
      </c>
      <c r="D676" s="13" t="n">
        <v>1572707.84</v>
      </c>
    </row>
    <row r="677" customFormat="false" ht="15.75" hidden="false" customHeight="true" outlineLevel="0" collapsed="false">
      <c r="A677" s="2" t="s">
        <v>85</v>
      </c>
      <c r="B677" s="2" t="s">
        <v>244</v>
      </c>
      <c r="C677" s="1" t="str">
        <f aca="false">A677&amp;B677</f>
        <v>3420170250</v>
      </c>
      <c r="D677" s="13" t="n">
        <v>-491471.21</v>
      </c>
    </row>
    <row r="678" customFormat="false" ht="15.75" hidden="false" customHeight="true" outlineLevel="0" collapsed="false">
      <c r="A678" s="2" t="s">
        <v>85</v>
      </c>
      <c r="B678" s="2" t="s">
        <v>245</v>
      </c>
      <c r="C678" s="1" t="str">
        <f aca="false">A678&amp;B678</f>
        <v>3420175000</v>
      </c>
      <c r="D678" s="13" t="n">
        <v>940842.17</v>
      </c>
    </row>
    <row r="679" customFormat="false" ht="15.75" hidden="false" customHeight="true" outlineLevel="0" collapsed="false">
      <c r="A679" s="2" t="s">
        <v>85</v>
      </c>
      <c r="B679" s="2" t="s">
        <v>229</v>
      </c>
      <c r="C679" s="1" t="str">
        <f aca="false">A679&amp;B679</f>
        <v>3420190000</v>
      </c>
      <c r="D679" s="13" t="n">
        <v>8790696.77</v>
      </c>
    </row>
    <row r="680" customFormat="false" ht="15.75" hidden="false" customHeight="true" outlineLevel="0" collapsed="false">
      <c r="A680" s="2" t="s">
        <v>85</v>
      </c>
      <c r="B680" s="2" t="s">
        <v>313</v>
      </c>
      <c r="C680" s="1" t="str">
        <f aca="false">A680&amp;B680</f>
        <v>3420190001</v>
      </c>
      <c r="D680" s="13" t="n">
        <v>-4477419.67</v>
      </c>
    </row>
    <row r="681" customFormat="false" ht="15.75" hidden="false" customHeight="true" outlineLevel="0" collapsed="false">
      <c r="A681" s="2" t="s">
        <v>85</v>
      </c>
      <c r="B681" s="2" t="s">
        <v>314</v>
      </c>
      <c r="C681" s="1" t="str">
        <f aca="false">A681&amp;B681</f>
        <v>3420190002</v>
      </c>
      <c r="D681" s="13" t="n">
        <v>251486.49</v>
      </c>
    </row>
    <row r="682" customFormat="false" ht="15.75" hidden="false" customHeight="true" outlineLevel="0" collapsed="false">
      <c r="A682" s="2" t="s">
        <v>85</v>
      </c>
      <c r="B682" s="2" t="s">
        <v>315</v>
      </c>
      <c r="C682" s="1" t="str">
        <f aca="false">A682&amp;B682</f>
        <v>3420190004</v>
      </c>
      <c r="D682" s="13" t="n">
        <v>864804.45</v>
      </c>
    </row>
    <row r="683" customFormat="false" ht="15.75" hidden="false" customHeight="true" outlineLevel="0" collapsed="false">
      <c r="A683" s="2" t="s">
        <v>85</v>
      </c>
      <c r="B683" s="2" t="s">
        <v>316</v>
      </c>
      <c r="C683" s="1" t="str">
        <f aca="false">A683&amp;B683</f>
        <v>3420190006</v>
      </c>
      <c r="D683" s="13" t="n">
        <v>-5429568.04</v>
      </c>
    </row>
    <row r="684" customFormat="false" ht="15.75" hidden="false" customHeight="true" outlineLevel="0" collapsed="false">
      <c r="A684" s="2" t="s">
        <v>85</v>
      </c>
      <c r="B684" s="2" t="s">
        <v>145</v>
      </c>
      <c r="C684" s="1" t="str">
        <f aca="false">A684&amp;B684</f>
        <v>3420193000</v>
      </c>
      <c r="D684" s="13" t="n">
        <v>1161408.92</v>
      </c>
    </row>
    <row r="685" customFormat="false" ht="15.75" hidden="false" customHeight="true" outlineLevel="0" collapsed="false">
      <c r="A685" s="2" t="s">
        <v>85</v>
      </c>
      <c r="B685" s="2" t="s">
        <v>146</v>
      </c>
      <c r="C685" s="1" t="str">
        <f aca="false">A685&amp;B685</f>
        <v>3420200000</v>
      </c>
      <c r="D685" s="13" t="n">
        <v>-10000</v>
      </c>
    </row>
    <row r="686" customFormat="false" ht="15.75" hidden="false" customHeight="true" outlineLevel="0" collapsed="false">
      <c r="A686" s="2" t="s">
        <v>85</v>
      </c>
      <c r="B686" s="2" t="s">
        <v>147</v>
      </c>
      <c r="C686" s="1" t="str">
        <f aca="false">A686&amp;B686</f>
        <v>3420200004</v>
      </c>
      <c r="D686" s="13" t="n">
        <v>-832.65</v>
      </c>
    </row>
    <row r="687" customFormat="false" ht="15.75" hidden="false" customHeight="true" outlineLevel="0" collapsed="false">
      <c r="A687" s="2" t="s">
        <v>85</v>
      </c>
      <c r="B687" s="2" t="s">
        <v>317</v>
      </c>
      <c r="C687" s="1" t="str">
        <f aca="false">A687&amp;B687</f>
        <v>3420200006</v>
      </c>
      <c r="D687" s="13" t="n">
        <v>0</v>
      </c>
    </row>
    <row r="688" customFormat="false" ht="15.75" hidden="false" customHeight="true" outlineLevel="0" collapsed="false">
      <c r="A688" s="2" t="s">
        <v>85</v>
      </c>
      <c r="B688" s="2" t="s">
        <v>246</v>
      </c>
      <c r="C688" s="1" t="str">
        <f aca="false">A688&amp;B688</f>
        <v>3420200007</v>
      </c>
      <c r="D688" s="13" t="n">
        <v>2941.3</v>
      </c>
    </row>
    <row r="689" customFormat="false" ht="15.75" hidden="false" customHeight="true" outlineLevel="0" collapsed="false">
      <c r="A689" s="2" t="s">
        <v>85</v>
      </c>
      <c r="B689" s="2" t="s">
        <v>148</v>
      </c>
      <c r="C689" s="1" t="str">
        <f aca="false">A689&amp;B689</f>
        <v>3420200098</v>
      </c>
      <c r="D689" s="13" t="n">
        <v>-313485.24</v>
      </c>
    </row>
    <row r="690" customFormat="false" ht="15.75" hidden="false" customHeight="true" outlineLevel="0" collapsed="false">
      <c r="A690" s="2" t="s">
        <v>85</v>
      </c>
      <c r="B690" s="2" t="s">
        <v>248</v>
      </c>
      <c r="C690" s="1" t="str">
        <f aca="false">A690&amp;B690</f>
        <v>3420200205</v>
      </c>
      <c r="D690" s="13" t="n">
        <v>-10070.9</v>
      </c>
    </row>
    <row r="691" customFormat="false" ht="15.75" hidden="false" customHeight="true" outlineLevel="0" collapsed="false">
      <c r="A691" s="2" t="s">
        <v>85</v>
      </c>
      <c r="B691" s="2" t="s">
        <v>249</v>
      </c>
      <c r="C691" s="1" t="str">
        <f aca="false">A691&amp;B691</f>
        <v>3420200206</v>
      </c>
      <c r="D691" s="13" t="n">
        <v>-100</v>
      </c>
    </row>
    <row r="692" customFormat="false" ht="15.75" hidden="false" customHeight="true" outlineLevel="0" collapsed="false">
      <c r="A692" s="2" t="s">
        <v>85</v>
      </c>
      <c r="B692" s="2" t="s">
        <v>149</v>
      </c>
      <c r="C692" s="1" t="str">
        <f aca="false">A692&amp;B692</f>
        <v>3420200208</v>
      </c>
      <c r="D692" s="13" t="n">
        <v>-147282.81</v>
      </c>
    </row>
    <row r="693" customFormat="false" ht="15.75" hidden="false" customHeight="true" outlineLevel="0" collapsed="false">
      <c r="A693" s="2" t="s">
        <v>85</v>
      </c>
      <c r="B693" s="2" t="s">
        <v>252</v>
      </c>
      <c r="C693" s="1" t="str">
        <f aca="false">A693&amp;B693</f>
        <v>3420200301</v>
      </c>
      <c r="D693" s="13" t="n">
        <v>0</v>
      </c>
    </row>
    <row r="694" customFormat="false" ht="15.75" hidden="false" customHeight="true" outlineLevel="0" collapsed="false">
      <c r="A694" s="2" t="s">
        <v>85</v>
      </c>
      <c r="B694" s="2" t="s">
        <v>150</v>
      </c>
      <c r="C694" s="1" t="str">
        <f aca="false">A694&amp;B694</f>
        <v>3420200302</v>
      </c>
      <c r="D694" s="13" t="n">
        <v>-74266.16</v>
      </c>
    </row>
    <row r="695" customFormat="false" ht="15.75" hidden="false" customHeight="true" outlineLevel="0" collapsed="false">
      <c r="A695" s="2" t="s">
        <v>85</v>
      </c>
      <c r="B695" s="2" t="s">
        <v>154</v>
      </c>
      <c r="C695" s="1" t="str">
        <f aca="false">A695&amp;B695</f>
        <v>3420201300</v>
      </c>
      <c r="D695" s="13" t="n">
        <v>-17194.13</v>
      </c>
    </row>
    <row r="696" customFormat="false" ht="15.75" hidden="false" customHeight="true" outlineLevel="0" collapsed="false">
      <c r="A696" s="2" t="s">
        <v>85</v>
      </c>
      <c r="B696" s="2" t="s">
        <v>155</v>
      </c>
      <c r="C696" s="1" t="str">
        <f aca="false">A696&amp;B696</f>
        <v>3420201302</v>
      </c>
      <c r="D696" s="13" t="n">
        <v>-1279536.27</v>
      </c>
    </row>
    <row r="697" customFormat="false" ht="15.75" hidden="false" customHeight="true" outlineLevel="0" collapsed="false">
      <c r="A697" s="2" t="s">
        <v>85</v>
      </c>
      <c r="B697" s="2" t="s">
        <v>156</v>
      </c>
      <c r="C697" s="1" t="str">
        <f aca="false">A697&amp;B697</f>
        <v>3420201400</v>
      </c>
      <c r="D697" s="13" t="n">
        <v>-64900</v>
      </c>
    </row>
    <row r="698" customFormat="false" ht="15.75" hidden="false" customHeight="true" outlineLevel="0" collapsed="false">
      <c r="A698" s="2" t="s">
        <v>85</v>
      </c>
      <c r="B698" s="2" t="s">
        <v>253</v>
      </c>
      <c r="C698" s="1" t="str">
        <f aca="false">A698&amp;B698</f>
        <v>3420201500</v>
      </c>
      <c r="D698" s="13" t="n">
        <v>-676.1</v>
      </c>
    </row>
    <row r="699" customFormat="false" ht="15.75" hidden="false" customHeight="true" outlineLevel="0" collapsed="false">
      <c r="A699" s="2" t="s">
        <v>85</v>
      </c>
      <c r="B699" s="2" t="s">
        <v>280</v>
      </c>
      <c r="C699" s="1" t="str">
        <f aca="false">A699&amp;B699</f>
        <v>3420204010</v>
      </c>
      <c r="D699" s="13" t="n">
        <v>909.09</v>
      </c>
    </row>
    <row r="700" customFormat="false" ht="15.75" hidden="false" customHeight="true" outlineLevel="0" collapsed="false">
      <c r="A700" s="2" t="s">
        <v>85</v>
      </c>
      <c r="B700" s="2" t="s">
        <v>157</v>
      </c>
      <c r="C700" s="1" t="str">
        <f aca="false">A700&amp;B700</f>
        <v>3420204020</v>
      </c>
      <c r="D700" s="13" t="n">
        <v>34945.2</v>
      </c>
    </row>
    <row r="701" customFormat="false" ht="15.75" hidden="false" customHeight="true" outlineLevel="0" collapsed="false">
      <c r="A701" s="2" t="s">
        <v>85</v>
      </c>
      <c r="B701" s="2" t="s">
        <v>158</v>
      </c>
      <c r="C701" s="1" t="str">
        <f aca="false">A701&amp;B701</f>
        <v>3420210000</v>
      </c>
      <c r="D701" s="13" t="n">
        <v>-38639.09</v>
      </c>
    </row>
    <row r="702" customFormat="false" ht="15.75" hidden="false" customHeight="true" outlineLevel="0" collapsed="false">
      <c r="A702" s="2" t="s">
        <v>85</v>
      </c>
      <c r="B702" s="2" t="s">
        <v>159</v>
      </c>
      <c r="C702" s="1" t="str">
        <f aca="false">A702&amp;B702</f>
        <v>3420210002</v>
      </c>
      <c r="D702" s="13" t="n">
        <v>-58856.71</v>
      </c>
    </row>
    <row r="703" customFormat="false" ht="15.75" hidden="false" customHeight="true" outlineLevel="0" collapsed="false">
      <c r="A703" s="2" t="s">
        <v>85</v>
      </c>
      <c r="B703" s="2" t="s">
        <v>318</v>
      </c>
      <c r="C703" s="1" t="str">
        <f aca="false">A703&amp;B703</f>
        <v>3420241000</v>
      </c>
      <c r="D703" s="13" t="n">
        <v>-417035.61</v>
      </c>
    </row>
    <row r="704" customFormat="false" ht="15.75" hidden="false" customHeight="true" outlineLevel="0" collapsed="false">
      <c r="A704" s="2" t="s">
        <v>85</v>
      </c>
      <c r="B704" s="2" t="s">
        <v>283</v>
      </c>
      <c r="C704" s="1" t="str">
        <f aca="false">A704&amp;B704</f>
        <v>3420241100</v>
      </c>
      <c r="D704" s="13" t="n">
        <v>-174178.16</v>
      </c>
    </row>
    <row r="705" customFormat="false" ht="15.75" hidden="false" customHeight="true" outlineLevel="0" collapsed="false">
      <c r="A705" s="2" t="s">
        <v>85</v>
      </c>
      <c r="B705" s="2" t="s">
        <v>123</v>
      </c>
      <c r="C705" s="1" t="str">
        <f aca="false">A705&amp;B705</f>
        <v>3420243000</v>
      </c>
      <c r="D705" s="13" t="n">
        <v>-67355585.87</v>
      </c>
    </row>
    <row r="706" customFormat="false" ht="15.75" hidden="false" customHeight="true" outlineLevel="0" collapsed="false">
      <c r="A706" s="2" t="s">
        <v>85</v>
      </c>
      <c r="B706" s="2" t="s">
        <v>124</v>
      </c>
      <c r="C706" s="1" t="str">
        <f aca="false">A706&amp;B706</f>
        <v>3420243003</v>
      </c>
      <c r="D706" s="13" t="n">
        <v>-36659415.57</v>
      </c>
    </row>
    <row r="707" customFormat="false" ht="15.75" hidden="false" customHeight="true" outlineLevel="0" collapsed="false">
      <c r="A707" s="2" t="s">
        <v>85</v>
      </c>
      <c r="B707" s="2" t="s">
        <v>125</v>
      </c>
      <c r="C707" s="1" t="str">
        <f aca="false">A707&amp;B707</f>
        <v>3420243005</v>
      </c>
      <c r="D707" s="13" t="n">
        <v>24773862</v>
      </c>
    </row>
    <row r="708" customFormat="false" ht="15.75" hidden="false" customHeight="true" outlineLevel="0" collapsed="false">
      <c r="A708" s="2" t="s">
        <v>85</v>
      </c>
      <c r="B708" s="2" t="s">
        <v>161</v>
      </c>
      <c r="C708" s="1" t="str">
        <f aca="false">A708&amp;B708</f>
        <v>3420243006</v>
      </c>
      <c r="D708" s="13" t="n">
        <v>0</v>
      </c>
    </row>
    <row r="709" customFormat="false" ht="15.75" hidden="false" customHeight="true" outlineLevel="0" collapsed="false">
      <c r="A709" s="2" t="s">
        <v>85</v>
      </c>
      <c r="B709" s="2" t="s">
        <v>162</v>
      </c>
      <c r="C709" s="1" t="str">
        <f aca="false">A709&amp;B709</f>
        <v>3420250000</v>
      </c>
      <c r="D709" s="13" t="n">
        <v>-39506.46</v>
      </c>
    </row>
    <row r="710" customFormat="false" ht="15.75" hidden="false" customHeight="true" outlineLevel="0" collapsed="false">
      <c r="A710" s="2" t="s">
        <v>85</v>
      </c>
      <c r="B710" s="2" t="s">
        <v>165</v>
      </c>
      <c r="C710" s="1" t="str">
        <f aca="false">A710&amp;B710</f>
        <v>3420280000</v>
      </c>
      <c r="D710" s="13" t="n">
        <v>2772038</v>
      </c>
    </row>
    <row r="711" customFormat="false" ht="15.75" hidden="false" customHeight="true" outlineLevel="0" collapsed="false">
      <c r="A711" s="2" t="s">
        <v>85</v>
      </c>
      <c r="B711" s="2" t="s">
        <v>126</v>
      </c>
      <c r="C711" s="1" t="str">
        <f aca="false">A711&amp;B711</f>
        <v>3420300002</v>
      </c>
      <c r="D711" s="13" t="n">
        <v>-3687086.99</v>
      </c>
    </row>
    <row r="712" customFormat="false" ht="15.75" hidden="false" customHeight="true" outlineLevel="0" collapsed="false">
      <c r="A712" s="2" t="s">
        <v>85</v>
      </c>
      <c r="B712" s="2" t="s">
        <v>319</v>
      </c>
      <c r="C712" s="1" t="str">
        <f aca="false">A712&amp;B712</f>
        <v>3420311001</v>
      </c>
      <c r="D712" s="13" t="n">
        <v>-251486.49</v>
      </c>
    </row>
    <row r="713" customFormat="false" ht="15.75" hidden="false" customHeight="true" outlineLevel="0" collapsed="false">
      <c r="A713" s="2" t="s">
        <v>85</v>
      </c>
      <c r="B713" s="2" t="s">
        <v>320</v>
      </c>
      <c r="C713" s="1" t="str">
        <f aca="false">A713&amp;B713</f>
        <v>3420311002</v>
      </c>
      <c r="D713" s="13" t="n">
        <v>-864804.45</v>
      </c>
    </row>
    <row r="714" customFormat="false" ht="15.75" hidden="false" customHeight="true" outlineLevel="0" collapsed="false">
      <c r="A714" s="2" t="s">
        <v>85</v>
      </c>
      <c r="B714" s="2" t="s">
        <v>199</v>
      </c>
      <c r="C714" s="1" t="str">
        <f aca="false">A714&amp;B714</f>
        <v>3420311003</v>
      </c>
      <c r="D714" s="13" t="n">
        <v>334888</v>
      </c>
    </row>
    <row r="715" customFormat="false" ht="15.75" hidden="false" customHeight="true" outlineLevel="0" collapsed="false">
      <c r="A715" s="2" t="s">
        <v>85</v>
      </c>
      <c r="B715" s="2" t="s">
        <v>127</v>
      </c>
      <c r="C715" s="1" t="str">
        <f aca="false">A715&amp;B715</f>
        <v>3420320000</v>
      </c>
      <c r="D715" s="13" t="n">
        <v>68885194.65</v>
      </c>
    </row>
    <row r="716" customFormat="false" ht="15.75" hidden="false" customHeight="true" outlineLevel="0" collapsed="false">
      <c r="A716" s="2" t="s">
        <v>85</v>
      </c>
      <c r="B716" s="2" t="s">
        <v>286</v>
      </c>
      <c r="C716" s="1" t="str">
        <f aca="false">A716&amp;B716</f>
        <v>3420501050</v>
      </c>
      <c r="D716" s="13" t="n">
        <v>-8466467.59</v>
      </c>
    </row>
    <row r="717" customFormat="false" ht="15.75" hidden="false" customHeight="true" outlineLevel="0" collapsed="false">
      <c r="A717" s="2" t="s">
        <v>85</v>
      </c>
      <c r="B717" s="2" t="s">
        <v>168</v>
      </c>
      <c r="C717" s="1" t="str">
        <f aca="false">A717&amp;B717</f>
        <v>3420514001</v>
      </c>
      <c r="D717" s="13" t="n">
        <v>-70785</v>
      </c>
    </row>
    <row r="718" customFormat="false" ht="15.75" hidden="false" customHeight="true" outlineLevel="0" collapsed="false">
      <c r="A718" s="2" t="s">
        <v>85</v>
      </c>
      <c r="B718" s="2" t="s">
        <v>86</v>
      </c>
      <c r="C718" s="1" t="str">
        <f aca="false">A718&amp;B718</f>
        <v>3420601050</v>
      </c>
      <c r="D718" s="13" t="n">
        <v>3913952.43</v>
      </c>
    </row>
    <row r="719" customFormat="false" ht="15.75" hidden="false" customHeight="true" outlineLevel="0" collapsed="false">
      <c r="A719" s="2" t="s">
        <v>85</v>
      </c>
      <c r="B719" s="2" t="s">
        <v>87</v>
      </c>
      <c r="C719" s="1" t="str">
        <f aca="false">A719&amp;B719</f>
        <v>3420601051</v>
      </c>
      <c r="D719" s="13" t="n">
        <v>4454006.78</v>
      </c>
    </row>
    <row r="720" customFormat="false" ht="15.75" hidden="false" customHeight="true" outlineLevel="0" collapsed="false">
      <c r="A720" s="2" t="s">
        <v>85</v>
      </c>
      <c r="B720" s="2" t="s">
        <v>77</v>
      </c>
      <c r="C720" s="1" t="str">
        <f aca="false">A720&amp;B720</f>
        <v>3420601052</v>
      </c>
      <c r="D720" s="13" t="n">
        <v>337728.04</v>
      </c>
    </row>
    <row r="721" customFormat="false" ht="15.75" hidden="false" customHeight="true" outlineLevel="0" collapsed="false">
      <c r="A721" s="2" t="s">
        <v>85</v>
      </c>
      <c r="B721" s="2" t="s">
        <v>8</v>
      </c>
      <c r="C721" s="1" t="str">
        <f aca="false">A721&amp;B721</f>
        <v>3420602000</v>
      </c>
      <c r="D721" s="13" t="n">
        <v>713989.84</v>
      </c>
    </row>
    <row r="722" customFormat="false" ht="15.75" hidden="false" customHeight="true" outlineLevel="0" collapsed="false">
      <c r="A722" s="2" t="s">
        <v>85</v>
      </c>
      <c r="B722" s="2" t="s">
        <v>10</v>
      </c>
      <c r="C722" s="1" t="str">
        <f aca="false">A722&amp;B722</f>
        <v>3420602004</v>
      </c>
      <c r="D722" s="13" t="n">
        <v>13322.02</v>
      </c>
    </row>
    <row r="723" customFormat="false" ht="15.75" hidden="false" customHeight="true" outlineLevel="0" collapsed="false">
      <c r="A723" s="2" t="s">
        <v>85</v>
      </c>
      <c r="B723" s="2" t="s">
        <v>12</v>
      </c>
      <c r="C723" s="1" t="str">
        <f aca="false">A723&amp;B723</f>
        <v>3420602010</v>
      </c>
      <c r="D723" s="13" t="n">
        <v>35870.24</v>
      </c>
    </row>
    <row r="724" customFormat="false" ht="15.75" hidden="false" customHeight="true" outlineLevel="0" collapsed="false">
      <c r="A724" s="2" t="s">
        <v>85</v>
      </c>
      <c r="B724" s="2" t="s">
        <v>13</v>
      </c>
      <c r="C724" s="1" t="str">
        <f aca="false">A724&amp;B724</f>
        <v>3420602020</v>
      </c>
      <c r="D724" s="13" t="n">
        <v>31928.36</v>
      </c>
    </row>
    <row r="725" customFormat="false" ht="15.75" hidden="false" customHeight="true" outlineLevel="0" collapsed="false">
      <c r="A725" s="2" t="s">
        <v>85</v>
      </c>
      <c r="B725" s="2" t="s">
        <v>14</v>
      </c>
      <c r="C725" s="1" t="str">
        <f aca="false">A725&amp;B725</f>
        <v>3420602030</v>
      </c>
      <c r="D725" s="13" t="n">
        <v>-18168.11</v>
      </c>
    </row>
    <row r="726" customFormat="false" ht="15.75" hidden="false" customHeight="true" outlineLevel="0" collapsed="false">
      <c r="A726" s="2" t="s">
        <v>85</v>
      </c>
      <c r="B726" s="2" t="s">
        <v>42</v>
      </c>
      <c r="C726" s="1" t="str">
        <f aca="false">A726&amp;B726</f>
        <v>3420602040</v>
      </c>
      <c r="D726" s="13" t="n">
        <v>15636.53</v>
      </c>
    </row>
    <row r="727" customFormat="false" ht="15.75" hidden="false" customHeight="true" outlineLevel="0" collapsed="false">
      <c r="A727" s="2" t="s">
        <v>85</v>
      </c>
      <c r="B727" s="2" t="s">
        <v>43</v>
      </c>
      <c r="C727" s="1" t="str">
        <f aca="false">A727&amp;B727</f>
        <v>3420602050</v>
      </c>
      <c r="D727" s="13" t="n">
        <v>5133.83</v>
      </c>
    </row>
    <row r="728" customFormat="false" ht="15.75" hidden="false" customHeight="true" outlineLevel="0" collapsed="false">
      <c r="A728" s="2" t="s">
        <v>85</v>
      </c>
      <c r="B728" s="2" t="s">
        <v>44</v>
      </c>
      <c r="C728" s="1" t="str">
        <f aca="false">A728&amp;B728</f>
        <v>3420602060</v>
      </c>
      <c r="D728" s="13" t="n">
        <v>250</v>
      </c>
    </row>
    <row r="729" customFormat="false" ht="15.75" hidden="false" customHeight="true" outlineLevel="0" collapsed="false">
      <c r="A729" s="2" t="s">
        <v>85</v>
      </c>
      <c r="B729" s="2" t="s">
        <v>15</v>
      </c>
      <c r="C729" s="1" t="str">
        <f aca="false">A729&amp;B729</f>
        <v>3420602070</v>
      </c>
      <c r="D729" s="13" t="n">
        <v>404702.13</v>
      </c>
    </row>
    <row r="730" customFormat="false" ht="15.75" hidden="false" customHeight="true" outlineLevel="0" collapsed="false">
      <c r="A730" s="2" t="s">
        <v>85</v>
      </c>
      <c r="B730" s="2" t="s">
        <v>16</v>
      </c>
      <c r="C730" s="1" t="str">
        <f aca="false">A730&amp;B730</f>
        <v>3420602072</v>
      </c>
      <c r="D730" s="13" t="n">
        <v>37873.4</v>
      </c>
    </row>
    <row r="731" customFormat="false" ht="15.75" hidden="false" customHeight="true" outlineLevel="0" collapsed="false">
      <c r="A731" s="2" t="s">
        <v>85</v>
      </c>
      <c r="B731" s="2" t="s">
        <v>48</v>
      </c>
      <c r="C731" s="1" t="str">
        <f aca="false">A731&amp;B731</f>
        <v>3420602080</v>
      </c>
      <c r="D731" s="13" t="n">
        <v>-9222</v>
      </c>
    </row>
    <row r="732" customFormat="false" ht="15.75" hidden="false" customHeight="true" outlineLevel="0" collapsed="false">
      <c r="A732" s="2" t="s">
        <v>85</v>
      </c>
      <c r="B732" s="2" t="s">
        <v>17</v>
      </c>
      <c r="C732" s="1" t="str">
        <f aca="false">A732&amp;B732</f>
        <v>3420603000</v>
      </c>
      <c r="D732" s="13" t="n">
        <v>80785.53</v>
      </c>
    </row>
    <row r="733" customFormat="false" ht="15.75" hidden="false" customHeight="true" outlineLevel="0" collapsed="false">
      <c r="A733" s="2" t="s">
        <v>85</v>
      </c>
      <c r="B733" s="2" t="s">
        <v>22</v>
      </c>
      <c r="C733" s="1" t="str">
        <f aca="false">A733&amp;B733</f>
        <v>3420604010</v>
      </c>
      <c r="D733" s="13" t="n">
        <v>61657.04</v>
      </c>
    </row>
    <row r="734" customFormat="false" ht="15.75" hidden="false" customHeight="true" outlineLevel="0" collapsed="false">
      <c r="A734" s="2" t="s">
        <v>85</v>
      </c>
      <c r="B734" s="2" t="s">
        <v>19</v>
      </c>
      <c r="C734" s="1" t="str">
        <f aca="false">A734&amp;B734</f>
        <v>3420604040</v>
      </c>
      <c r="D734" s="13" t="n">
        <v>143936.48</v>
      </c>
    </row>
    <row r="735" customFormat="false" ht="15.75" hidden="false" customHeight="true" outlineLevel="0" collapsed="false">
      <c r="A735" s="2" t="s">
        <v>85</v>
      </c>
      <c r="B735" s="2" t="s">
        <v>174</v>
      </c>
      <c r="C735" s="1" t="str">
        <f aca="false">A735&amp;B735</f>
        <v>3420604900</v>
      </c>
      <c r="D735" s="13" t="n">
        <v>2230318.47</v>
      </c>
    </row>
    <row r="736" customFormat="false" ht="15.75" hidden="false" customHeight="true" outlineLevel="0" collapsed="false">
      <c r="A736" s="2" t="s">
        <v>85</v>
      </c>
      <c r="B736" s="2" t="s">
        <v>51</v>
      </c>
      <c r="C736" s="1" t="str">
        <f aca="false">A736&amp;B736</f>
        <v>3420605000</v>
      </c>
      <c r="D736" s="13" t="n">
        <v>552.85</v>
      </c>
    </row>
    <row r="737" customFormat="false" ht="15.75" hidden="false" customHeight="true" outlineLevel="0" collapsed="false">
      <c r="A737" s="2" t="s">
        <v>85</v>
      </c>
      <c r="B737" s="2" t="s">
        <v>53</v>
      </c>
      <c r="C737" s="1" t="str">
        <f aca="false">A737&amp;B737</f>
        <v>3420605020</v>
      </c>
      <c r="D737" s="13" t="n">
        <v>47451.59</v>
      </c>
    </row>
    <row r="738" customFormat="false" ht="15.75" hidden="false" customHeight="true" outlineLevel="0" collapsed="false">
      <c r="A738" s="2" t="s">
        <v>85</v>
      </c>
      <c r="B738" s="2" t="s">
        <v>57</v>
      </c>
      <c r="C738" s="1" t="str">
        <f aca="false">A738&amp;B738</f>
        <v>3420606030</v>
      </c>
      <c r="D738" s="13" t="n">
        <v>7368.38</v>
      </c>
    </row>
    <row r="739" customFormat="false" ht="15.75" hidden="false" customHeight="true" outlineLevel="0" collapsed="false">
      <c r="A739" s="2" t="s">
        <v>85</v>
      </c>
      <c r="B739" s="2" t="s">
        <v>31</v>
      </c>
      <c r="C739" s="1" t="str">
        <f aca="false">A739&amp;B739</f>
        <v>3420607000</v>
      </c>
      <c r="D739" s="13" t="n">
        <v>62.73</v>
      </c>
    </row>
    <row r="740" customFormat="false" ht="15.75" hidden="false" customHeight="true" outlineLevel="0" collapsed="false">
      <c r="A740" s="2" t="s">
        <v>85</v>
      </c>
      <c r="B740" s="2" t="s">
        <v>75</v>
      </c>
      <c r="C740" s="1" t="str">
        <f aca="false">A740&amp;B740</f>
        <v>3420607040</v>
      </c>
      <c r="D740" s="13" t="n">
        <v>138342.64</v>
      </c>
    </row>
    <row r="741" customFormat="false" ht="15.75" hidden="false" customHeight="true" outlineLevel="0" collapsed="false">
      <c r="A741" s="2" t="s">
        <v>85</v>
      </c>
      <c r="B741" s="2" t="s">
        <v>61</v>
      </c>
      <c r="C741" s="1" t="str">
        <f aca="false">A741&amp;B741</f>
        <v>3420608000</v>
      </c>
      <c r="D741" s="13" t="n">
        <v>54.55</v>
      </c>
    </row>
    <row r="742" customFormat="false" ht="15.75" hidden="false" customHeight="true" outlineLevel="0" collapsed="false">
      <c r="A742" s="2" t="s">
        <v>85</v>
      </c>
      <c r="B742" s="2" t="s">
        <v>59</v>
      </c>
      <c r="C742" s="1" t="str">
        <f aca="false">A742&amp;B742</f>
        <v>3420608010</v>
      </c>
      <c r="D742" s="13" t="n">
        <v>-1572.04</v>
      </c>
    </row>
    <row r="743" customFormat="false" ht="15.75" hidden="false" customHeight="true" outlineLevel="0" collapsed="false">
      <c r="A743" s="2" t="s">
        <v>85</v>
      </c>
      <c r="B743" s="2" t="s">
        <v>23</v>
      </c>
      <c r="C743" s="1" t="str">
        <f aca="false">A743&amp;B743</f>
        <v>3420608020</v>
      </c>
      <c r="D743" s="13" t="n">
        <v>18671.14</v>
      </c>
    </row>
    <row r="744" customFormat="false" ht="15.75" hidden="false" customHeight="true" outlineLevel="0" collapsed="false">
      <c r="A744" s="2" t="s">
        <v>85</v>
      </c>
      <c r="B744" s="2" t="s">
        <v>60</v>
      </c>
      <c r="C744" s="1" t="str">
        <f aca="false">A744&amp;B744</f>
        <v>3420608040</v>
      </c>
      <c r="D744" s="13" t="n">
        <v>-1362.23</v>
      </c>
    </row>
    <row r="745" customFormat="false" ht="15.75" hidden="false" customHeight="true" outlineLevel="0" collapsed="false">
      <c r="A745" s="2" t="s">
        <v>85</v>
      </c>
      <c r="B745" s="2" t="s">
        <v>27</v>
      </c>
      <c r="C745" s="1" t="str">
        <f aca="false">A745&amp;B745</f>
        <v>3420609002</v>
      </c>
      <c r="D745" s="13" t="n">
        <v>6124.37</v>
      </c>
    </row>
    <row r="746" customFormat="false" ht="15.75" hidden="false" customHeight="true" outlineLevel="0" collapsed="false">
      <c r="A746" s="2" t="s">
        <v>85</v>
      </c>
      <c r="B746" s="2" t="s">
        <v>28</v>
      </c>
      <c r="C746" s="1" t="str">
        <f aca="false">A746&amp;B746</f>
        <v>3420609003</v>
      </c>
      <c r="D746" s="13" t="n">
        <v>634.18</v>
      </c>
    </row>
    <row r="747" customFormat="false" ht="15.75" hidden="false" customHeight="true" outlineLevel="0" collapsed="false">
      <c r="A747" s="2" t="s">
        <v>85</v>
      </c>
      <c r="B747" s="2" t="s">
        <v>24</v>
      </c>
      <c r="C747" s="1" t="str">
        <f aca="false">A747&amp;B747</f>
        <v>3420609004</v>
      </c>
      <c r="D747" s="13" t="n">
        <v>13258.16</v>
      </c>
    </row>
    <row r="748" customFormat="false" ht="15.75" hidden="false" customHeight="true" outlineLevel="0" collapsed="false">
      <c r="A748" s="2" t="s">
        <v>85</v>
      </c>
      <c r="B748" s="2" t="s">
        <v>29</v>
      </c>
      <c r="C748" s="1" t="str">
        <f aca="false">A748&amp;B748</f>
        <v>3420609009</v>
      </c>
      <c r="D748" s="13" t="n">
        <v>4748.54</v>
      </c>
    </row>
    <row r="749" customFormat="false" ht="15.75" hidden="false" customHeight="true" outlineLevel="0" collapsed="false">
      <c r="A749" s="2" t="s">
        <v>85</v>
      </c>
      <c r="B749" s="2" t="s">
        <v>30</v>
      </c>
      <c r="C749" s="1" t="str">
        <f aca="false">A749&amp;B749</f>
        <v>3420609010</v>
      </c>
      <c r="D749" s="13" t="n">
        <v>-3326.21</v>
      </c>
    </row>
    <row r="750" customFormat="false" ht="15.75" hidden="false" customHeight="true" outlineLevel="0" collapsed="false">
      <c r="A750" s="2" t="s">
        <v>85</v>
      </c>
      <c r="B750" s="2" t="s">
        <v>39</v>
      </c>
      <c r="C750" s="1" t="str">
        <f aca="false">A750&amp;B750</f>
        <v>3420609012</v>
      </c>
      <c r="D750" s="13" t="n">
        <v>-37139.39</v>
      </c>
    </row>
    <row r="751" customFormat="false" ht="15.75" hidden="false" customHeight="true" outlineLevel="0" collapsed="false">
      <c r="A751" s="2" t="s">
        <v>85</v>
      </c>
      <c r="B751" s="2" t="s">
        <v>82</v>
      </c>
      <c r="C751" s="1" t="str">
        <f aca="false">A751&amp;B751</f>
        <v>3420610002</v>
      </c>
      <c r="D751" s="13" t="n">
        <v>6231.45</v>
      </c>
    </row>
    <row r="752" customFormat="false" ht="15.75" hidden="false" customHeight="true" outlineLevel="0" collapsed="false">
      <c r="A752" s="2" t="s">
        <v>85</v>
      </c>
      <c r="B752" s="2" t="s">
        <v>83</v>
      </c>
      <c r="C752" s="1" t="str">
        <f aca="false">A752&amp;B752</f>
        <v>3420610005</v>
      </c>
      <c r="D752" s="13" t="n">
        <v>-77693.43</v>
      </c>
    </row>
    <row r="753" customFormat="false" ht="15.75" hidden="false" customHeight="true" outlineLevel="0" collapsed="false">
      <c r="A753" s="2" t="s">
        <v>85</v>
      </c>
      <c r="B753" s="2" t="s">
        <v>177</v>
      </c>
      <c r="C753" s="1" t="str">
        <f aca="false">A753&amp;B753</f>
        <v>3420630002</v>
      </c>
      <c r="D753" s="13" t="n">
        <v>56726.47</v>
      </c>
    </row>
    <row r="754" customFormat="false" ht="15.75" hidden="false" customHeight="true" outlineLevel="0" collapsed="false">
      <c r="A754" s="2" t="s">
        <v>85</v>
      </c>
      <c r="B754" s="2" t="s">
        <v>257</v>
      </c>
      <c r="C754" s="1" t="str">
        <f aca="false">A754&amp;B754</f>
        <v>3420630101</v>
      </c>
      <c r="D754" s="13" t="n">
        <v>356577.09</v>
      </c>
    </row>
    <row r="755" customFormat="false" ht="15.75" hidden="false" customHeight="true" outlineLevel="0" collapsed="false">
      <c r="A755" s="2" t="s">
        <v>85</v>
      </c>
      <c r="B755" s="2" t="s">
        <v>181</v>
      </c>
      <c r="C755" s="1" t="str">
        <f aca="false">A755&amp;B755</f>
        <v>3420640900</v>
      </c>
      <c r="D755" s="13" t="n">
        <v>3079461.88</v>
      </c>
    </row>
    <row r="756" customFormat="false" ht="15.75" hidden="false" customHeight="true" outlineLevel="0" collapsed="false">
      <c r="A756" s="2" t="s">
        <v>85</v>
      </c>
      <c r="B756" s="2" t="s">
        <v>182</v>
      </c>
      <c r="C756" s="1" t="str">
        <f aca="false">A756&amp;B756</f>
        <v>3420690000</v>
      </c>
      <c r="D756" s="13" t="n">
        <v>-2848</v>
      </c>
    </row>
    <row r="757" customFormat="false" ht="15.75" hidden="false" customHeight="true" outlineLevel="0" collapsed="false">
      <c r="A757" s="2" t="s">
        <v>85</v>
      </c>
      <c r="B757" s="2" t="s">
        <v>321</v>
      </c>
      <c r="C757" s="1" t="str">
        <f aca="false">A757&amp;B757</f>
        <v>3420699999</v>
      </c>
      <c r="D757" s="13" t="n">
        <v>0</v>
      </c>
    </row>
    <row r="758" customFormat="false" ht="15.75" hidden="false" customHeight="true" outlineLevel="0" collapsed="false">
      <c r="A758" s="2" t="s">
        <v>85</v>
      </c>
      <c r="B758" s="2" t="s">
        <v>20</v>
      </c>
      <c r="C758" s="1" t="str">
        <f aca="false">A758&amp;B758</f>
        <v>3420910001</v>
      </c>
      <c r="D758" s="13" t="n">
        <v>0</v>
      </c>
    </row>
    <row r="759" customFormat="false" ht="15.75" hidden="false" customHeight="true" outlineLevel="0" collapsed="false">
      <c r="A759" s="2" t="s">
        <v>85</v>
      </c>
      <c r="B759" s="2" t="s">
        <v>18</v>
      </c>
      <c r="C759" s="1" t="str">
        <f aca="false">A759&amp;B759</f>
        <v>3420910003</v>
      </c>
      <c r="D759" s="13" t="n">
        <v>0</v>
      </c>
    </row>
    <row r="760" customFormat="false" ht="15.75" hidden="false" customHeight="true" outlineLevel="0" collapsed="false">
      <c r="A760" s="2" t="s">
        <v>85</v>
      </c>
      <c r="B760" s="2" t="s">
        <v>35</v>
      </c>
      <c r="C760" s="1" t="str">
        <f aca="false">A760&amp;B760</f>
        <v>3420910004</v>
      </c>
      <c r="D760" s="13" t="n">
        <v>0</v>
      </c>
    </row>
    <row r="761" customFormat="false" ht="15.75" hidden="false" customHeight="true" outlineLevel="0" collapsed="false">
      <c r="A761" s="2" t="s">
        <v>85</v>
      </c>
      <c r="B761" s="2" t="s">
        <v>183</v>
      </c>
      <c r="C761" s="1" t="str">
        <f aca="false">A761&amp;B761</f>
        <v>3420990000</v>
      </c>
      <c r="D761" s="13" t="n">
        <v>0</v>
      </c>
    </row>
    <row r="762" customFormat="false" ht="15.75" hidden="false" customHeight="true" outlineLevel="0" collapsed="false">
      <c r="A762" s="2" t="s">
        <v>85</v>
      </c>
      <c r="B762" s="2" t="s">
        <v>184</v>
      </c>
      <c r="C762" s="1" t="str">
        <f aca="false">A762&amp;B762</f>
        <v>3420990002</v>
      </c>
      <c r="D762" s="13" t="n">
        <v>0</v>
      </c>
    </row>
    <row r="763" customFormat="false" ht="15.75" hidden="false" customHeight="true" outlineLevel="0" collapsed="false">
      <c r="A763" s="2" t="s">
        <v>85</v>
      </c>
      <c r="B763" s="2" t="s">
        <v>185</v>
      </c>
      <c r="C763" s="1" t="str">
        <f aca="false">A763&amp;B763</f>
        <v>3420990003</v>
      </c>
      <c r="D763" s="13" t="n">
        <v>0</v>
      </c>
    </row>
    <row r="764" customFormat="false" ht="15.75" hidden="false" customHeight="true" outlineLevel="0" collapsed="false">
      <c r="A764" s="2" t="s">
        <v>88</v>
      </c>
      <c r="B764" s="2" t="s">
        <v>322</v>
      </c>
      <c r="C764" s="1" t="str">
        <f aca="false">A764&amp;B764</f>
        <v>3440101140</v>
      </c>
      <c r="D764" s="13" t="n">
        <v>791783.17</v>
      </c>
    </row>
    <row r="765" customFormat="false" ht="15.75" hidden="false" customHeight="true" outlineLevel="0" collapsed="false">
      <c r="A765" s="2" t="s">
        <v>88</v>
      </c>
      <c r="B765" s="2" t="s">
        <v>323</v>
      </c>
      <c r="C765" s="1" t="str">
        <f aca="false">A765&amp;B765</f>
        <v>3440101143</v>
      </c>
      <c r="D765" s="13" t="n">
        <v>795556.82</v>
      </c>
    </row>
    <row r="766" customFormat="false" ht="15.75" hidden="false" customHeight="true" outlineLevel="0" collapsed="false">
      <c r="A766" s="2" t="s">
        <v>88</v>
      </c>
      <c r="B766" s="2" t="s">
        <v>324</v>
      </c>
      <c r="C766" s="1" t="str">
        <f aca="false">A766&amp;B766</f>
        <v>3440110006</v>
      </c>
      <c r="D766" s="13" t="n">
        <v>-75196.81</v>
      </c>
    </row>
    <row r="767" customFormat="false" ht="15.75" hidden="false" customHeight="true" outlineLevel="0" collapsed="false">
      <c r="A767" s="2" t="s">
        <v>88</v>
      </c>
      <c r="B767" s="2" t="s">
        <v>261</v>
      </c>
      <c r="C767" s="1" t="str">
        <f aca="false">A767&amp;B767</f>
        <v>3440110050</v>
      </c>
      <c r="D767" s="13" t="n">
        <v>560607.97</v>
      </c>
    </row>
    <row r="768" customFormat="false" ht="15.75" hidden="false" customHeight="true" outlineLevel="0" collapsed="false">
      <c r="A768" s="2" t="s">
        <v>88</v>
      </c>
      <c r="B768" s="2" t="s">
        <v>239</v>
      </c>
      <c r="C768" s="1" t="str">
        <f aca="false">A768&amp;B768</f>
        <v>3440112000</v>
      </c>
      <c r="D768" s="13" t="n">
        <v>-10496.26</v>
      </c>
    </row>
    <row r="769" customFormat="false" ht="15.75" hidden="false" customHeight="true" outlineLevel="0" collapsed="false">
      <c r="A769" s="2" t="s">
        <v>88</v>
      </c>
      <c r="B769" s="2" t="s">
        <v>133</v>
      </c>
      <c r="C769" s="1" t="str">
        <f aca="false">A769&amp;B769</f>
        <v>3440140002</v>
      </c>
      <c r="D769" s="13" t="n">
        <v>8422.9</v>
      </c>
    </row>
    <row r="770" customFormat="false" ht="15.75" hidden="false" customHeight="true" outlineLevel="0" collapsed="false">
      <c r="A770" s="2" t="s">
        <v>88</v>
      </c>
      <c r="B770" s="2" t="s">
        <v>138</v>
      </c>
      <c r="C770" s="1" t="str">
        <f aca="false">A770&amp;B770</f>
        <v>3440160201</v>
      </c>
      <c r="D770" s="13" t="n">
        <v>279071.29</v>
      </c>
    </row>
    <row r="771" customFormat="false" ht="15.75" hidden="false" customHeight="true" outlineLevel="0" collapsed="false">
      <c r="A771" s="2" t="s">
        <v>88</v>
      </c>
      <c r="B771" s="2" t="s">
        <v>140</v>
      </c>
      <c r="C771" s="1" t="str">
        <f aca="false">A771&amp;B771</f>
        <v>3440160251</v>
      </c>
      <c r="D771" s="13" t="n">
        <v>-6720.73</v>
      </c>
    </row>
    <row r="772" customFormat="false" ht="15.75" hidden="false" customHeight="true" outlineLevel="0" collapsed="false">
      <c r="A772" s="2" t="s">
        <v>88</v>
      </c>
      <c r="B772" s="2" t="s">
        <v>242</v>
      </c>
      <c r="C772" s="1" t="str">
        <f aca="false">A772&amp;B772</f>
        <v>3440165201</v>
      </c>
      <c r="D772" s="13" t="n">
        <v>456298.42</v>
      </c>
    </row>
    <row r="773" customFormat="false" ht="15.75" hidden="false" customHeight="true" outlineLevel="0" collapsed="false">
      <c r="A773" s="2" t="s">
        <v>88</v>
      </c>
      <c r="B773" s="2" t="s">
        <v>325</v>
      </c>
      <c r="C773" s="1" t="str">
        <f aca="false">A773&amp;B773</f>
        <v>3440192001</v>
      </c>
      <c r="D773" s="13" t="n">
        <v>1370602.32</v>
      </c>
    </row>
    <row r="774" customFormat="false" ht="15.75" hidden="false" customHeight="true" outlineLevel="0" collapsed="false">
      <c r="A774" s="2" t="s">
        <v>88</v>
      </c>
      <c r="B774" s="2" t="s">
        <v>145</v>
      </c>
      <c r="C774" s="1" t="str">
        <f aca="false">A774&amp;B774</f>
        <v>3440193000</v>
      </c>
      <c r="D774" s="13" t="n">
        <v>30115</v>
      </c>
    </row>
    <row r="775" customFormat="false" ht="15.75" hidden="false" customHeight="true" outlineLevel="0" collapsed="false">
      <c r="A775" s="2" t="s">
        <v>88</v>
      </c>
      <c r="B775" s="2" t="s">
        <v>147</v>
      </c>
      <c r="C775" s="1" t="str">
        <f aca="false">A775&amp;B775</f>
        <v>3440200004</v>
      </c>
      <c r="D775" s="13" t="n">
        <v>-1780.33</v>
      </c>
    </row>
    <row r="776" customFormat="false" ht="15.75" hidden="false" customHeight="true" outlineLevel="0" collapsed="false">
      <c r="A776" s="2" t="s">
        <v>88</v>
      </c>
      <c r="B776" s="2" t="s">
        <v>326</v>
      </c>
      <c r="C776" s="1" t="str">
        <f aca="false">A776&amp;B776</f>
        <v>3440200005</v>
      </c>
      <c r="D776" s="13" t="n">
        <v>-43779.51</v>
      </c>
    </row>
    <row r="777" customFormat="false" ht="15.75" hidden="false" customHeight="true" outlineLevel="0" collapsed="false">
      <c r="A777" s="2" t="s">
        <v>88</v>
      </c>
      <c r="B777" s="2" t="s">
        <v>317</v>
      </c>
      <c r="C777" s="1" t="str">
        <f aca="false">A777&amp;B777</f>
        <v>3440200006</v>
      </c>
      <c r="D777" s="13" t="n">
        <v>-949482.56</v>
      </c>
    </row>
    <row r="778" customFormat="false" ht="15.75" hidden="false" customHeight="true" outlineLevel="0" collapsed="false">
      <c r="A778" s="2" t="s">
        <v>88</v>
      </c>
      <c r="B778" s="2" t="s">
        <v>148</v>
      </c>
      <c r="C778" s="1" t="str">
        <f aca="false">A778&amp;B778</f>
        <v>3440200098</v>
      </c>
      <c r="D778" s="13" t="n">
        <v>-149400.01</v>
      </c>
    </row>
    <row r="779" customFormat="false" ht="15.75" hidden="false" customHeight="true" outlineLevel="0" collapsed="false">
      <c r="A779" s="2" t="s">
        <v>88</v>
      </c>
      <c r="B779" s="2" t="s">
        <v>149</v>
      </c>
      <c r="C779" s="1" t="str">
        <f aca="false">A779&amp;B779</f>
        <v>3440200208</v>
      </c>
      <c r="D779" s="13" t="n">
        <v>-164715.03</v>
      </c>
    </row>
    <row r="780" customFormat="false" ht="15.75" hidden="false" customHeight="true" outlineLevel="0" collapsed="false">
      <c r="A780" s="2" t="s">
        <v>88</v>
      </c>
      <c r="B780" s="2" t="s">
        <v>150</v>
      </c>
      <c r="C780" s="1" t="str">
        <f aca="false">A780&amp;B780</f>
        <v>3440200302</v>
      </c>
      <c r="D780" s="13" t="n">
        <v>-102979.6</v>
      </c>
    </row>
    <row r="781" customFormat="false" ht="15.75" hidden="false" customHeight="true" outlineLevel="0" collapsed="false">
      <c r="A781" s="2" t="s">
        <v>88</v>
      </c>
      <c r="B781" s="2" t="s">
        <v>154</v>
      </c>
      <c r="C781" s="1" t="str">
        <f aca="false">A781&amp;B781</f>
        <v>3440201300</v>
      </c>
      <c r="D781" s="13" t="n">
        <v>-29298.06</v>
      </c>
    </row>
    <row r="782" customFormat="false" ht="15.75" hidden="false" customHeight="true" outlineLevel="0" collapsed="false">
      <c r="A782" s="2" t="s">
        <v>88</v>
      </c>
      <c r="B782" s="2" t="s">
        <v>253</v>
      </c>
      <c r="C782" s="1" t="str">
        <f aca="false">A782&amp;B782</f>
        <v>3440201500</v>
      </c>
      <c r="D782" s="13" t="n">
        <v>-1075</v>
      </c>
    </row>
    <row r="783" customFormat="false" ht="15.75" hidden="false" customHeight="true" outlineLevel="0" collapsed="false">
      <c r="A783" s="2" t="s">
        <v>88</v>
      </c>
      <c r="B783" s="2" t="s">
        <v>157</v>
      </c>
      <c r="C783" s="1" t="str">
        <f aca="false">A783&amp;B783</f>
        <v>3440204020</v>
      </c>
      <c r="D783" s="13" t="n">
        <v>18550.58</v>
      </c>
    </row>
    <row r="784" customFormat="false" ht="15.75" hidden="false" customHeight="true" outlineLevel="0" collapsed="false">
      <c r="A784" s="2" t="s">
        <v>88</v>
      </c>
      <c r="B784" s="2" t="s">
        <v>158</v>
      </c>
      <c r="C784" s="1" t="str">
        <f aca="false">A784&amp;B784</f>
        <v>3440210000</v>
      </c>
      <c r="D784" s="13" t="n">
        <v>-50033.33</v>
      </c>
    </row>
    <row r="785" customFormat="false" ht="15.75" hidden="false" customHeight="true" outlineLevel="0" collapsed="false">
      <c r="A785" s="2" t="s">
        <v>88</v>
      </c>
      <c r="B785" s="2" t="s">
        <v>123</v>
      </c>
      <c r="C785" s="1" t="str">
        <f aca="false">A785&amp;B785</f>
        <v>3440243000</v>
      </c>
      <c r="D785" s="13" t="n">
        <v>-6847494.95</v>
      </c>
    </row>
    <row r="786" customFormat="false" ht="15.75" hidden="false" customHeight="true" outlineLevel="0" collapsed="false">
      <c r="A786" s="2" t="s">
        <v>88</v>
      </c>
      <c r="B786" s="2" t="s">
        <v>124</v>
      </c>
      <c r="C786" s="1" t="str">
        <f aca="false">A786&amp;B786</f>
        <v>3440243003</v>
      </c>
      <c r="D786" s="13" t="n">
        <v>-351311.81</v>
      </c>
    </row>
    <row r="787" customFormat="false" ht="15.75" hidden="false" customHeight="true" outlineLevel="0" collapsed="false">
      <c r="A787" s="2" t="s">
        <v>88</v>
      </c>
      <c r="B787" s="2" t="s">
        <v>125</v>
      </c>
      <c r="C787" s="1" t="str">
        <f aca="false">A787&amp;B787</f>
        <v>3440243005</v>
      </c>
      <c r="D787" s="13" t="n">
        <v>1027123</v>
      </c>
    </row>
    <row r="788" customFormat="false" ht="15.75" hidden="false" customHeight="true" outlineLevel="0" collapsed="false">
      <c r="A788" s="2" t="s">
        <v>88</v>
      </c>
      <c r="B788" s="2" t="s">
        <v>161</v>
      </c>
      <c r="C788" s="1" t="str">
        <f aca="false">A788&amp;B788</f>
        <v>3440243006</v>
      </c>
      <c r="D788" s="13" t="n">
        <v>0</v>
      </c>
    </row>
    <row r="789" customFormat="false" ht="15.75" hidden="false" customHeight="true" outlineLevel="0" collapsed="false">
      <c r="A789" s="2" t="s">
        <v>88</v>
      </c>
      <c r="B789" s="2" t="s">
        <v>162</v>
      </c>
      <c r="C789" s="1" t="str">
        <f aca="false">A789&amp;B789</f>
        <v>3440250000</v>
      </c>
      <c r="D789" s="13" t="n">
        <v>-65814.91</v>
      </c>
    </row>
    <row r="790" customFormat="false" ht="15.75" hidden="false" customHeight="true" outlineLevel="0" collapsed="false">
      <c r="A790" s="2" t="s">
        <v>88</v>
      </c>
      <c r="B790" s="2" t="s">
        <v>165</v>
      </c>
      <c r="C790" s="1" t="str">
        <f aca="false">A790&amp;B790</f>
        <v>3440280000</v>
      </c>
      <c r="D790" s="13" t="n">
        <v>11792</v>
      </c>
    </row>
    <row r="791" customFormat="false" ht="15.75" hidden="false" customHeight="true" outlineLevel="0" collapsed="false">
      <c r="A791" s="2" t="s">
        <v>88</v>
      </c>
      <c r="B791" s="2" t="s">
        <v>126</v>
      </c>
      <c r="C791" s="1" t="str">
        <f aca="false">A791&amp;B791</f>
        <v>3440300002</v>
      </c>
      <c r="D791" s="13" t="n">
        <v>-2</v>
      </c>
    </row>
    <row r="792" customFormat="false" ht="15.75" hidden="false" customHeight="true" outlineLevel="0" collapsed="false">
      <c r="A792" s="2" t="s">
        <v>88</v>
      </c>
      <c r="B792" s="2" t="s">
        <v>127</v>
      </c>
      <c r="C792" s="1" t="str">
        <f aca="false">A792&amp;B792</f>
        <v>3440320000</v>
      </c>
      <c r="D792" s="13" t="n">
        <v>2498961.26</v>
      </c>
    </row>
    <row r="793" customFormat="false" ht="15.75" hidden="false" customHeight="true" outlineLevel="0" collapsed="false">
      <c r="A793" s="2" t="s">
        <v>88</v>
      </c>
      <c r="B793" s="2" t="s">
        <v>327</v>
      </c>
      <c r="C793" s="1" t="str">
        <f aca="false">A793&amp;B793</f>
        <v>3440501051</v>
      </c>
      <c r="D793" s="13" t="n">
        <v>-392329.24</v>
      </c>
    </row>
    <row r="794" customFormat="false" ht="15.75" hidden="false" customHeight="true" outlineLevel="0" collapsed="false">
      <c r="A794" s="2" t="s">
        <v>88</v>
      </c>
      <c r="B794" s="2" t="s">
        <v>328</v>
      </c>
      <c r="C794" s="1" t="str">
        <f aca="false">A794&amp;B794</f>
        <v>3440501052</v>
      </c>
      <c r="D794" s="13" t="n">
        <v>-107300</v>
      </c>
    </row>
    <row r="795" customFormat="false" ht="15.75" hidden="false" customHeight="true" outlineLevel="0" collapsed="false">
      <c r="A795" s="2" t="s">
        <v>88</v>
      </c>
      <c r="B795" s="2" t="s">
        <v>329</v>
      </c>
      <c r="C795" s="1" t="str">
        <f aca="false">A795&amp;B795</f>
        <v>3440502050</v>
      </c>
      <c r="D795" s="13" t="n">
        <v>-395394.68</v>
      </c>
    </row>
    <row r="796" customFormat="false" ht="15.75" hidden="false" customHeight="true" outlineLevel="0" collapsed="false">
      <c r="A796" s="2" t="s">
        <v>88</v>
      </c>
      <c r="B796" s="2" t="s">
        <v>330</v>
      </c>
      <c r="C796" s="1" t="str">
        <f aca="false">A796&amp;B796</f>
        <v>3440502051</v>
      </c>
      <c r="D796" s="13" t="n">
        <v>-48044.61</v>
      </c>
    </row>
    <row r="797" customFormat="false" ht="15.75" hidden="false" customHeight="true" outlineLevel="0" collapsed="false">
      <c r="A797" s="2" t="s">
        <v>88</v>
      </c>
      <c r="B797" s="2" t="s">
        <v>223</v>
      </c>
      <c r="C797" s="1" t="str">
        <f aca="false">A797&amp;B797</f>
        <v>3440511000</v>
      </c>
      <c r="D797" s="13" t="n">
        <v>-28749.66</v>
      </c>
    </row>
    <row r="798" customFormat="false" ht="15.75" hidden="false" customHeight="true" outlineLevel="0" collapsed="false">
      <c r="A798" s="2" t="s">
        <v>88</v>
      </c>
      <c r="B798" s="2" t="s">
        <v>89</v>
      </c>
      <c r="C798" s="1" t="str">
        <f aca="false">A798&amp;B798</f>
        <v>3440601053</v>
      </c>
      <c r="D798" s="13" t="n">
        <v>131508</v>
      </c>
    </row>
    <row r="799" customFormat="false" ht="15.75" hidden="false" customHeight="true" outlineLevel="0" collapsed="false">
      <c r="A799" s="2" t="s">
        <v>88</v>
      </c>
      <c r="B799" s="2" t="s">
        <v>90</v>
      </c>
      <c r="C799" s="1" t="str">
        <f aca="false">A799&amp;B799</f>
        <v>3440601054</v>
      </c>
      <c r="D799" s="13" t="n">
        <v>216724.64</v>
      </c>
    </row>
    <row r="800" customFormat="false" ht="15.75" hidden="false" customHeight="true" outlineLevel="0" collapsed="false">
      <c r="A800" s="2" t="s">
        <v>88</v>
      </c>
      <c r="B800" s="2" t="s">
        <v>8</v>
      </c>
      <c r="C800" s="1" t="str">
        <f aca="false">A800&amp;B800</f>
        <v>3440602000</v>
      </c>
      <c r="D800" s="13" t="n">
        <v>719118.52</v>
      </c>
    </row>
    <row r="801" customFormat="false" ht="15.75" hidden="false" customHeight="true" outlineLevel="0" collapsed="false">
      <c r="A801" s="2" t="s">
        <v>88</v>
      </c>
      <c r="B801" s="2" t="s">
        <v>10</v>
      </c>
      <c r="C801" s="1" t="str">
        <f aca="false">A801&amp;B801</f>
        <v>3440602004</v>
      </c>
      <c r="D801" s="13" t="n">
        <v>13336.11</v>
      </c>
    </row>
    <row r="802" customFormat="false" ht="15.75" hidden="false" customHeight="true" outlineLevel="0" collapsed="false">
      <c r="A802" s="2" t="s">
        <v>88</v>
      </c>
      <c r="B802" s="2" t="s">
        <v>12</v>
      </c>
      <c r="C802" s="1" t="str">
        <f aca="false">A802&amp;B802</f>
        <v>3440602010</v>
      </c>
      <c r="D802" s="13" t="n">
        <v>69289.88</v>
      </c>
    </row>
    <row r="803" customFormat="false" ht="15.75" hidden="false" customHeight="true" outlineLevel="0" collapsed="false">
      <c r="A803" s="2" t="s">
        <v>88</v>
      </c>
      <c r="B803" s="2" t="s">
        <v>13</v>
      </c>
      <c r="C803" s="1" t="str">
        <f aca="false">A803&amp;B803</f>
        <v>3440602020</v>
      </c>
      <c r="D803" s="13" t="n">
        <v>14283.01</v>
      </c>
    </row>
    <row r="804" customFormat="false" ht="15.75" hidden="false" customHeight="true" outlineLevel="0" collapsed="false">
      <c r="A804" s="2" t="s">
        <v>88</v>
      </c>
      <c r="B804" s="2" t="s">
        <v>14</v>
      </c>
      <c r="C804" s="1" t="str">
        <f aca="false">A804&amp;B804</f>
        <v>3440602030</v>
      </c>
      <c r="D804" s="13" t="n">
        <v>15032.32</v>
      </c>
    </row>
    <row r="805" customFormat="false" ht="15.75" hidden="false" customHeight="true" outlineLevel="0" collapsed="false">
      <c r="A805" s="2" t="s">
        <v>88</v>
      </c>
      <c r="B805" s="2" t="s">
        <v>15</v>
      </c>
      <c r="C805" s="1" t="str">
        <f aca="false">A805&amp;B805</f>
        <v>3440602070</v>
      </c>
      <c r="D805" s="13" t="n">
        <v>-5996.86</v>
      </c>
    </row>
    <row r="806" customFormat="false" ht="15.75" hidden="false" customHeight="true" outlineLevel="0" collapsed="false">
      <c r="A806" s="2" t="s">
        <v>88</v>
      </c>
      <c r="B806" s="2" t="s">
        <v>16</v>
      </c>
      <c r="C806" s="1" t="str">
        <f aca="false">A806&amp;B806</f>
        <v>3440602072</v>
      </c>
      <c r="D806" s="13" t="n">
        <v>41425.41</v>
      </c>
    </row>
    <row r="807" customFormat="false" ht="15.75" hidden="false" customHeight="true" outlineLevel="0" collapsed="false">
      <c r="A807" s="2" t="s">
        <v>88</v>
      </c>
      <c r="B807" s="2" t="s">
        <v>17</v>
      </c>
      <c r="C807" s="1" t="str">
        <f aca="false">A807&amp;B807</f>
        <v>3440603000</v>
      </c>
      <c r="D807" s="13" t="n">
        <v>77664.83</v>
      </c>
    </row>
    <row r="808" customFormat="false" ht="15.75" hidden="false" customHeight="true" outlineLevel="0" collapsed="false">
      <c r="A808" s="2" t="s">
        <v>88</v>
      </c>
      <c r="B808" s="2" t="s">
        <v>22</v>
      </c>
      <c r="C808" s="1" t="str">
        <f aca="false">A808&amp;B808</f>
        <v>3440604010</v>
      </c>
      <c r="D808" s="13" t="n">
        <v>73509.36</v>
      </c>
    </row>
    <row r="809" customFormat="false" ht="15.75" hidden="false" customHeight="true" outlineLevel="0" collapsed="false">
      <c r="A809" s="2" t="s">
        <v>88</v>
      </c>
      <c r="B809" s="2" t="s">
        <v>33</v>
      </c>
      <c r="C809" s="1" t="str">
        <f aca="false">A809&amp;B809</f>
        <v>3440604031</v>
      </c>
      <c r="D809" s="13" t="n">
        <v>0</v>
      </c>
    </row>
    <row r="810" customFormat="false" ht="15.75" hidden="false" customHeight="true" outlineLevel="0" collapsed="false">
      <c r="A810" s="2" t="s">
        <v>88</v>
      </c>
      <c r="B810" s="2" t="s">
        <v>19</v>
      </c>
      <c r="C810" s="1" t="str">
        <f aca="false">A810&amp;B810</f>
        <v>3440604040</v>
      </c>
      <c r="D810" s="13" t="n">
        <v>45041.88</v>
      </c>
    </row>
    <row r="811" customFormat="false" ht="15.75" hidden="false" customHeight="true" outlineLevel="0" collapsed="false">
      <c r="A811" s="2" t="s">
        <v>88</v>
      </c>
      <c r="B811" s="2" t="s">
        <v>62</v>
      </c>
      <c r="C811" s="1" t="str">
        <f aca="false">A811&amp;B811</f>
        <v>3440606040</v>
      </c>
      <c r="D811" s="13" t="n">
        <v>17543.95</v>
      </c>
    </row>
    <row r="812" customFormat="false" ht="15.75" hidden="false" customHeight="true" outlineLevel="0" collapsed="false">
      <c r="A812" s="2" t="s">
        <v>88</v>
      </c>
      <c r="B812" s="2" t="s">
        <v>31</v>
      </c>
      <c r="C812" s="1" t="str">
        <f aca="false">A812&amp;B812</f>
        <v>3440607000</v>
      </c>
      <c r="D812" s="13" t="n">
        <v>2971.83</v>
      </c>
    </row>
    <row r="813" customFormat="false" ht="15.75" hidden="false" customHeight="true" outlineLevel="0" collapsed="false">
      <c r="A813" s="2" t="s">
        <v>88</v>
      </c>
      <c r="B813" s="2" t="s">
        <v>32</v>
      </c>
      <c r="C813" s="1" t="str">
        <f aca="false">A813&amp;B813</f>
        <v>3440607010</v>
      </c>
      <c r="D813" s="13" t="n">
        <v>60</v>
      </c>
    </row>
    <row r="814" customFormat="false" ht="15.75" hidden="false" customHeight="true" outlineLevel="0" collapsed="false">
      <c r="A814" s="2" t="s">
        <v>88</v>
      </c>
      <c r="B814" s="2" t="s">
        <v>23</v>
      </c>
      <c r="C814" s="1" t="str">
        <f aca="false">A814&amp;B814</f>
        <v>3440608020</v>
      </c>
      <c r="D814" s="13" t="n">
        <v>253414</v>
      </c>
    </row>
    <row r="815" customFormat="false" ht="15.75" hidden="false" customHeight="true" outlineLevel="0" collapsed="false">
      <c r="A815" s="2" t="s">
        <v>88</v>
      </c>
      <c r="B815" s="2" t="s">
        <v>60</v>
      </c>
      <c r="C815" s="1" t="str">
        <f aca="false">A815&amp;B815</f>
        <v>3440608040</v>
      </c>
      <c r="D815" s="13" t="n">
        <v>122.63</v>
      </c>
    </row>
    <row r="816" customFormat="false" ht="15.75" hidden="false" customHeight="true" outlineLevel="0" collapsed="false">
      <c r="A816" s="2" t="s">
        <v>88</v>
      </c>
      <c r="B816" s="2" t="s">
        <v>27</v>
      </c>
      <c r="C816" s="1" t="str">
        <f aca="false">A816&amp;B816</f>
        <v>3440609002</v>
      </c>
      <c r="D816" s="13" t="n">
        <v>8357.72</v>
      </c>
    </row>
    <row r="817" customFormat="false" ht="15.75" hidden="false" customHeight="true" outlineLevel="0" collapsed="false">
      <c r="A817" s="2" t="s">
        <v>88</v>
      </c>
      <c r="B817" s="2" t="s">
        <v>28</v>
      </c>
      <c r="C817" s="1" t="str">
        <f aca="false">A817&amp;B817</f>
        <v>3440609003</v>
      </c>
      <c r="D817" s="13" t="n">
        <v>515.46</v>
      </c>
    </row>
    <row r="818" customFormat="false" ht="15.75" hidden="false" customHeight="true" outlineLevel="0" collapsed="false">
      <c r="A818" s="2" t="s">
        <v>88</v>
      </c>
      <c r="B818" s="2" t="s">
        <v>24</v>
      </c>
      <c r="C818" s="1" t="str">
        <f aca="false">A818&amp;B818</f>
        <v>3440609004</v>
      </c>
      <c r="D818" s="13" t="n">
        <v>73939.2</v>
      </c>
    </row>
    <row r="819" customFormat="false" ht="15.75" hidden="false" customHeight="true" outlineLevel="0" collapsed="false">
      <c r="A819" s="2" t="s">
        <v>88</v>
      </c>
      <c r="B819" s="2" t="s">
        <v>26</v>
      </c>
      <c r="C819" s="1" t="str">
        <f aca="false">A819&amp;B819</f>
        <v>3440609006</v>
      </c>
      <c r="D819" s="13" t="n">
        <v>12533.55</v>
      </c>
    </row>
    <row r="820" customFormat="false" ht="15.75" hidden="false" customHeight="true" outlineLevel="0" collapsed="false">
      <c r="A820" s="2" t="s">
        <v>88</v>
      </c>
      <c r="B820" s="2" t="s">
        <v>37</v>
      </c>
      <c r="C820" s="1" t="str">
        <f aca="false">A820&amp;B820</f>
        <v>3440609008</v>
      </c>
      <c r="D820" s="13" t="n">
        <v>6661.18</v>
      </c>
    </row>
    <row r="821" customFormat="false" ht="15.75" hidden="false" customHeight="true" outlineLevel="0" collapsed="false">
      <c r="A821" s="2" t="s">
        <v>88</v>
      </c>
      <c r="B821" s="2" t="s">
        <v>29</v>
      </c>
      <c r="C821" s="1" t="str">
        <f aca="false">A821&amp;B821</f>
        <v>3440609009</v>
      </c>
      <c r="D821" s="13" t="n">
        <v>3580.87</v>
      </c>
    </row>
    <row r="822" customFormat="false" ht="15.75" hidden="false" customHeight="true" outlineLevel="0" collapsed="false">
      <c r="A822" s="2" t="s">
        <v>88</v>
      </c>
      <c r="B822" s="2" t="s">
        <v>30</v>
      </c>
      <c r="C822" s="1" t="str">
        <f aca="false">A822&amp;B822</f>
        <v>3440609010</v>
      </c>
      <c r="D822" s="13" t="n">
        <v>3121.34</v>
      </c>
    </row>
    <row r="823" customFormat="false" ht="15.75" hidden="false" customHeight="true" outlineLevel="0" collapsed="false">
      <c r="A823" s="2" t="s">
        <v>88</v>
      </c>
      <c r="B823" s="2" t="s">
        <v>177</v>
      </c>
      <c r="C823" s="1" t="str">
        <f aca="false">A823&amp;B823</f>
        <v>3440630002</v>
      </c>
      <c r="D823" s="13" t="n">
        <v>6720.73</v>
      </c>
    </row>
    <row r="824" customFormat="false" ht="15.75" hidden="false" customHeight="true" outlineLevel="0" collapsed="false">
      <c r="A824" s="2" t="s">
        <v>88</v>
      </c>
      <c r="B824" s="2" t="s">
        <v>181</v>
      </c>
      <c r="C824" s="1" t="str">
        <f aca="false">A824&amp;B824</f>
        <v>3440640900</v>
      </c>
      <c r="D824" s="13" t="n">
        <v>171671.8</v>
      </c>
    </row>
    <row r="825" customFormat="false" ht="15.75" hidden="false" customHeight="true" outlineLevel="0" collapsed="false">
      <c r="A825" s="2" t="s">
        <v>88</v>
      </c>
      <c r="B825" s="2" t="s">
        <v>182</v>
      </c>
      <c r="C825" s="1" t="str">
        <f aca="false">A825&amp;B825</f>
        <v>3440690000</v>
      </c>
      <c r="D825" s="13" t="n">
        <v>363</v>
      </c>
    </row>
    <row r="826" customFormat="false" ht="15.75" hidden="false" customHeight="true" outlineLevel="0" collapsed="false">
      <c r="A826" s="2" t="s">
        <v>88</v>
      </c>
      <c r="B826" s="2" t="s">
        <v>321</v>
      </c>
      <c r="C826" s="1" t="str">
        <f aca="false">A826&amp;B826</f>
        <v>3440699999</v>
      </c>
      <c r="D826" s="13" t="n">
        <v>0</v>
      </c>
    </row>
    <row r="827" customFormat="false" ht="15.75" hidden="false" customHeight="true" outlineLevel="0" collapsed="false">
      <c r="A827" s="2" t="s">
        <v>88</v>
      </c>
      <c r="B827" s="2" t="s">
        <v>183</v>
      </c>
      <c r="C827" s="1" t="str">
        <f aca="false">A827&amp;B827</f>
        <v>3440990000</v>
      </c>
      <c r="D827" s="13" t="n">
        <v>0</v>
      </c>
    </row>
    <row r="828" customFormat="false" ht="15.75" hidden="false" customHeight="true" outlineLevel="0" collapsed="false">
      <c r="A828" s="2" t="s">
        <v>88</v>
      </c>
      <c r="B828" s="2" t="s">
        <v>184</v>
      </c>
      <c r="C828" s="1" t="str">
        <f aca="false">A828&amp;B828</f>
        <v>3440990002</v>
      </c>
      <c r="D828" s="13" t="n">
        <v>0</v>
      </c>
    </row>
    <row r="829" customFormat="false" ht="15.75" hidden="false" customHeight="true" outlineLevel="0" collapsed="false">
      <c r="A829" s="2" t="s">
        <v>88</v>
      </c>
      <c r="B829" s="2" t="s">
        <v>185</v>
      </c>
      <c r="C829" s="1" t="str">
        <f aca="false">A829&amp;B829</f>
        <v>3440990003</v>
      </c>
      <c r="D829" s="13" t="n">
        <v>0</v>
      </c>
    </row>
    <row r="830" customFormat="false" ht="15.75" hidden="false" customHeight="true" outlineLevel="0" collapsed="false">
      <c r="A830" s="2" t="s">
        <v>91</v>
      </c>
      <c r="B830" s="2" t="s">
        <v>186</v>
      </c>
      <c r="C830" s="1" t="str">
        <f aca="false">A830&amp;B830</f>
        <v>3470100950</v>
      </c>
      <c r="D830" s="13" t="n">
        <v>0</v>
      </c>
    </row>
    <row r="831" customFormat="false" ht="15.75" hidden="false" customHeight="true" outlineLevel="0" collapsed="false">
      <c r="A831" s="2" t="s">
        <v>91</v>
      </c>
      <c r="B831" s="2" t="s">
        <v>331</v>
      </c>
      <c r="C831" s="1" t="str">
        <f aca="false">A831&amp;B831</f>
        <v>3470100960</v>
      </c>
      <c r="D831" s="13" t="n">
        <v>-984.71</v>
      </c>
    </row>
    <row r="832" customFormat="false" ht="15.75" hidden="false" customHeight="true" outlineLevel="0" collapsed="false">
      <c r="A832" s="2" t="s">
        <v>91</v>
      </c>
      <c r="B832" s="2" t="s">
        <v>332</v>
      </c>
      <c r="C832" s="1" t="str">
        <f aca="false">A832&amp;B832</f>
        <v>3470101001</v>
      </c>
      <c r="D832" s="13" t="n">
        <v>0</v>
      </c>
    </row>
    <row r="833" customFormat="false" ht="15.75" hidden="false" customHeight="true" outlineLevel="0" collapsed="false">
      <c r="A833" s="2" t="s">
        <v>91</v>
      </c>
      <c r="B833" s="2" t="s">
        <v>333</v>
      </c>
      <c r="C833" s="1" t="str">
        <f aca="false">A833&amp;B833</f>
        <v>3470101010</v>
      </c>
      <c r="D833" s="13" t="n">
        <v>-189.77</v>
      </c>
    </row>
    <row r="834" customFormat="false" ht="15.75" hidden="false" customHeight="true" outlineLevel="0" collapsed="false">
      <c r="A834" s="2" t="s">
        <v>91</v>
      </c>
      <c r="B834" s="2" t="s">
        <v>128</v>
      </c>
      <c r="C834" s="1" t="str">
        <f aca="false">A834&amp;B834</f>
        <v>3470101011</v>
      </c>
      <c r="D834" s="13" t="n">
        <v>690642.54</v>
      </c>
    </row>
    <row r="835" customFormat="false" ht="15.75" hidden="false" customHeight="true" outlineLevel="0" collapsed="false">
      <c r="A835" s="2" t="s">
        <v>91</v>
      </c>
      <c r="B835" s="2" t="s">
        <v>334</v>
      </c>
      <c r="C835" s="1" t="str">
        <f aca="false">A835&amp;B835</f>
        <v>3470101070</v>
      </c>
      <c r="D835" s="13" t="n">
        <v>230428.76</v>
      </c>
    </row>
    <row r="836" customFormat="false" ht="15.75" hidden="false" customHeight="true" outlineLevel="0" collapsed="false">
      <c r="A836" s="2" t="s">
        <v>91</v>
      </c>
      <c r="B836" s="2" t="s">
        <v>335</v>
      </c>
      <c r="C836" s="1" t="str">
        <f aca="false">A836&amp;B836</f>
        <v>3470101071</v>
      </c>
      <c r="D836" s="13" t="n">
        <v>96352.64</v>
      </c>
    </row>
    <row r="837" customFormat="false" ht="15.75" hidden="false" customHeight="true" outlineLevel="0" collapsed="false">
      <c r="A837" s="2" t="s">
        <v>91</v>
      </c>
      <c r="B837" s="2" t="s">
        <v>336</v>
      </c>
      <c r="C837" s="1" t="str">
        <f aca="false">A837&amp;B837</f>
        <v>3470101083</v>
      </c>
      <c r="D837" s="13" t="n">
        <v>-177201.04</v>
      </c>
    </row>
    <row r="838" customFormat="false" ht="15.75" hidden="false" customHeight="true" outlineLevel="0" collapsed="false">
      <c r="A838" s="2" t="s">
        <v>91</v>
      </c>
      <c r="B838" s="2" t="s">
        <v>337</v>
      </c>
      <c r="C838" s="1" t="str">
        <f aca="false">A838&amp;B838</f>
        <v>3470101085</v>
      </c>
      <c r="D838" s="13" t="n">
        <v>-2828894.82</v>
      </c>
    </row>
    <row r="839" customFormat="false" ht="15.75" hidden="false" customHeight="true" outlineLevel="0" collapsed="false">
      <c r="A839" s="2" t="s">
        <v>91</v>
      </c>
      <c r="B839" s="2" t="s">
        <v>338</v>
      </c>
      <c r="C839" s="1" t="str">
        <f aca="false">A839&amp;B839</f>
        <v>3470101088</v>
      </c>
      <c r="D839" s="13" t="n">
        <v>13413.44</v>
      </c>
    </row>
    <row r="840" customFormat="false" ht="15.75" hidden="false" customHeight="true" outlineLevel="0" collapsed="false">
      <c r="A840" s="2" t="s">
        <v>91</v>
      </c>
      <c r="B840" s="2" t="s">
        <v>339</v>
      </c>
      <c r="C840" s="1" t="str">
        <f aca="false">A840&amp;B840</f>
        <v>3470101090</v>
      </c>
      <c r="D840" s="13" t="n">
        <v>2456582.79</v>
      </c>
    </row>
    <row r="841" customFormat="false" ht="15.75" hidden="false" customHeight="true" outlineLevel="0" collapsed="false">
      <c r="A841" s="2" t="s">
        <v>91</v>
      </c>
      <c r="B841" s="2" t="s">
        <v>340</v>
      </c>
      <c r="C841" s="1" t="str">
        <f aca="false">A841&amp;B841</f>
        <v>3470101093</v>
      </c>
      <c r="D841" s="13" t="n">
        <v>-4733</v>
      </c>
    </row>
    <row r="842" customFormat="false" ht="15.75" hidden="false" customHeight="true" outlineLevel="0" collapsed="false">
      <c r="A842" s="2" t="s">
        <v>91</v>
      </c>
      <c r="B842" s="2" t="s">
        <v>341</v>
      </c>
      <c r="C842" s="1" t="str">
        <f aca="false">A842&amp;B842</f>
        <v>3470101094</v>
      </c>
      <c r="D842" s="13" t="n">
        <v>238.37</v>
      </c>
    </row>
    <row r="843" customFormat="false" ht="15.75" hidden="false" customHeight="true" outlineLevel="0" collapsed="false">
      <c r="A843" s="2" t="s">
        <v>91</v>
      </c>
      <c r="B843" s="2" t="s">
        <v>342</v>
      </c>
      <c r="C843" s="1" t="str">
        <f aca="false">A843&amp;B843</f>
        <v>3470101096</v>
      </c>
      <c r="D843" s="13" t="n">
        <v>-300</v>
      </c>
    </row>
    <row r="844" customFormat="false" ht="15.75" hidden="false" customHeight="true" outlineLevel="0" collapsed="false">
      <c r="A844" s="2" t="s">
        <v>91</v>
      </c>
      <c r="B844" s="2" t="s">
        <v>343</v>
      </c>
      <c r="C844" s="1" t="str">
        <f aca="false">A844&amp;B844</f>
        <v>3470101120</v>
      </c>
      <c r="D844" s="13" t="n">
        <v>19742.97</v>
      </c>
    </row>
    <row r="845" customFormat="false" ht="15.75" hidden="false" customHeight="true" outlineLevel="0" collapsed="false">
      <c r="A845" s="2" t="s">
        <v>91</v>
      </c>
      <c r="B845" s="2" t="s">
        <v>344</v>
      </c>
      <c r="C845" s="1" t="str">
        <f aca="false">A845&amp;B845</f>
        <v>3470101123</v>
      </c>
      <c r="D845" s="13" t="n">
        <v>0</v>
      </c>
    </row>
    <row r="846" customFormat="false" ht="15.75" hidden="false" customHeight="true" outlineLevel="0" collapsed="false">
      <c r="A846" s="2" t="s">
        <v>91</v>
      </c>
      <c r="B846" s="2" t="s">
        <v>345</v>
      </c>
      <c r="C846" s="1" t="str">
        <f aca="false">A846&amp;B846</f>
        <v>3470101124</v>
      </c>
      <c r="D846" s="13" t="n">
        <v>394</v>
      </c>
    </row>
    <row r="847" customFormat="false" ht="15.75" hidden="false" customHeight="true" outlineLevel="0" collapsed="false">
      <c r="A847" s="2" t="s">
        <v>91</v>
      </c>
      <c r="B847" s="2" t="s">
        <v>346</v>
      </c>
      <c r="C847" s="1" t="str">
        <f aca="false">A847&amp;B847</f>
        <v>3470101126</v>
      </c>
      <c r="D847" s="13" t="n">
        <v>162</v>
      </c>
    </row>
    <row r="848" customFormat="false" ht="15.75" hidden="false" customHeight="true" outlineLevel="0" collapsed="false">
      <c r="A848" s="2" t="s">
        <v>91</v>
      </c>
      <c r="B848" s="2" t="s">
        <v>347</v>
      </c>
      <c r="C848" s="1" t="str">
        <f aca="false">A848&amp;B848</f>
        <v>3470101130</v>
      </c>
      <c r="D848" s="13" t="n">
        <v>994.7</v>
      </c>
    </row>
    <row r="849" customFormat="false" ht="15.75" hidden="false" customHeight="true" outlineLevel="0" collapsed="false">
      <c r="A849" s="2" t="s">
        <v>91</v>
      </c>
      <c r="B849" s="2" t="s">
        <v>348</v>
      </c>
      <c r="C849" s="1" t="str">
        <f aca="false">A849&amp;B849</f>
        <v>3470101133</v>
      </c>
      <c r="D849" s="13" t="n">
        <v>-160</v>
      </c>
    </row>
    <row r="850" customFormat="false" ht="15.75" hidden="false" customHeight="true" outlineLevel="0" collapsed="false">
      <c r="A850" s="2" t="s">
        <v>91</v>
      </c>
      <c r="B850" s="2" t="s">
        <v>349</v>
      </c>
      <c r="C850" s="1" t="str">
        <f aca="false">A850&amp;B850</f>
        <v>3470101150</v>
      </c>
      <c r="D850" s="13" t="n">
        <v>-88163.91</v>
      </c>
    </row>
    <row r="851" customFormat="false" ht="15.75" hidden="false" customHeight="true" outlineLevel="0" collapsed="false">
      <c r="A851" s="2" t="s">
        <v>91</v>
      </c>
      <c r="B851" s="2" t="s">
        <v>350</v>
      </c>
      <c r="C851" s="1" t="str">
        <f aca="false">A851&amp;B851</f>
        <v>3470101260</v>
      </c>
      <c r="D851" s="13" t="n">
        <v>14101402.61</v>
      </c>
    </row>
    <row r="852" customFormat="false" ht="15.75" hidden="false" customHeight="true" outlineLevel="0" collapsed="false">
      <c r="A852" s="2" t="s">
        <v>91</v>
      </c>
      <c r="B852" s="2" t="s">
        <v>351</v>
      </c>
      <c r="C852" s="1" t="str">
        <f aca="false">A852&amp;B852</f>
        <v>3470101263</v>
      </c>
      <c r="D852" s="13" t="n">
        <v>-6752.59</v>
      </c>
    </row>
    <row r="853" customFormat="false" ht="15.75" hidden="false" customHeight="true" outlineLevel="0" collapsed="false">
      <c r="A853" s="2" t="s">
        <v>91</v>
      </c>
      <c r="B853" s="2" t="s">
        <v>352</v>
      </c>
      <c r="C853" s="1" t="str">
        <f aca="false">A853&amp;B853</f>
        <v>3470101270</v>
      </c>
      <c r="D853" s="13" t="n">
        <v>129105.34</v>
      </c>
    </row>
    <row r="854" customFormat="false" ht="15.75" hidden="false" customHeight="true" outlineLevel="0" collapsed="false">
      <c r="A854" s="2" t="s">
        <v>91</v>
      </c>
      <c r="B854" s="2" t="s">
        <v>353</v>
      </c>
      <c r="C854" s="1" t="str">
        <f aca="false">A854&amp;B854</f>
        <v>3470101273</v>
      </c>
      <c r="D854" s="13" t="n">
        <v>-145810.41</v>
      </c>
    </row>
    <row r="855" customFormat="false" ht="15.75" hidden="false" customHeight="true" outlineLevel="0" collapsed="false">
      <c r="A855" s="2" t="s">
        <v>91</v>
      </c>
      <c r="B855" s="2" t="s">
        <v>354</v>
      </c>
      <c r="C855" s="1" t="str">
        <f aca="false">A855&amp;B855</f>
        <v>3470101274</v>
      </c>
      <c r="D855" s="13" t="n">
        <v>1163.41</v>
      </c>
    </row>
    <row r="856" customFormat="false" ht="15.75" hidden="false" customHeight="true" outlineLevel="0" collapsed="false">
      <c r="A856" s="2" t="s">
        <v>91</v>
      </c>
      <c r="B856" s="2" t="s">
        <v>355</v>
      </c>
      <c r="C856" s="1" t="str">
        <f aca="false">A856&amp;B856</f>
        <v>3470101276</v>
      </c>
      <c r="D856" s="13" t="n">
        <v>10617.24</v>
      </c>
    </row>
    <row r="857" customFormat="false" ht="15.75" hidden="false" customHeight="true" outlineLevel="0" collapsed="false">
      <c r="A857" s="2" t="s">
        <v>91</v>
      </c>
      <c r="B857" s="2" t="s">
        <v>356</v>
      </c>
      <c r="C857" s="1" t="str">
        <f aca="false">A857&amp;B857</f>
        <v>3470101280</v>
      </c>
      <c r="D857" s="13" t="n">
        <v>13047341.85</v>
      </c>
    </row>
    <row r="858" customFormat="false" ht="15.75" hidden="false" customHeight="true" outlineLevel="0" collapsed="false">
      <c r="A858" s="2" t="s">
        <v>91</v>
      </c>
      <c r="B858" s="2" t="s">
        <v>357</v>
      </c>
      <c r="C858" s="1" t="str">
        <f aca="false">A858&amp;B858</f>
        <v>3470101284</v>
      </c>
      <c r="D858" s="13" t="n">
        <v>8387.42</v>
      </c>
    </row>
    <row r="859" customFormat="false" ht="15.75" hidden="false" customHeight="true" outlineLevel="0" collapsed="false">
      <c r="A859" s="2" t="s">
        <v>91</v>
      </c>
      <c r="B859" s="2" t="s">
        <v>358</v>
      </c>
      <c r="C859" s="1" t="str">
        <f aca="false">A859&amp;B859</f>
        <v>3470101285</v>
      </c>
      <c r="D859" s="13" t="n">
        <v>3046.62</v>
      </c>
    </row>
    <row r="860" customFormat="false" ht="15.75" hidden="false" customHeight="true" outlineLevel="0" collapsed="false">
      <c r="A860" s="2" t="s">
        <v>91</v>
      </c>
      <c r="B860" s="2" t="s">
        <v>359</v>
      </c>
      <c r="C860" s="1" t="str">
        <f aca="false">A860&amp;B860</f>
        <v>3470101286</v>
      </c>
      <c r="D860" s="13" t="n">
        <v>-55816.96</v>
      </c>
    </row>
    <row r="861" customFormat="false" ht="15.75" hidden="false" customHeight="true" outlineLevel="0" collapsed="false">
      <c r="A861" s="2" t="s">
        <v>91</v>
      </c>
      <c r="B861" s="2" t="s">
        <v>360</v>
      </c>
      <c r="C861" s="1" t="str">
        <f aca="false">A861&amp;B861</f>
        <v>3470101287</v>
      </c>
      <c r="D861" s="13" t="n">
        <v>-1133202.05</v>
      </c>
    </row>
    <row r="862" customFormat="false" ht="15.75" hidden="false" customHeight="true" outlineLevel="0" collapsed="false">
      <c r="A862" s="2" t="s">
        <v>91</v>
      </c>
      <c r="B862" s="2" t="s">
        <v>361</v>
      </c>
      <c r="C862" s="1" t="str">
        <f aca="false">A862&amp;B862</f>
        <v>3470101289</v>
      </c>
      <c r="D862" s="13" t="n">
        <v>245.69</v>
      </c>
    </row>
    <row r="863" customFormat="false" ht="15.75" hidden="false" customHeight="true" outlineLevel="0" collapsed="false">
      <c r="A863" s="2" t="s">
        <v>91</v>
      </c>
      <c r="B863" s="2" t="s">
        <v>362</v>
      </c>
      <c r="C863" s="1" t="str">
        <f aca="false">A863&amp;B863</f>
        <v>3470110000</v>
      </c>
      <c r="D863" s="13" t="n">
        <v>-59971376.21</v>
      </c>
    </row>
    <row r="864" customFormat="false" ht="15.75" hidden="false" customHeight="true" outlineLevel="0" collapsed="false">
      <c r="A864" s="2" t="s">
        <v>91</v>
      </c>
      <c r="B864" s="2" t="s">
        <v>363</v>
      </c>
      <c r="C864" s="1" t="str">
        <f aca="false">A864&amp;B864</f>
        <v>3470110002</v>
      </c>
      <c r="D864" s="13" t="n">
        <v>19599</v>
      </c>
    </row>
    <row r="865" customFormat="false" ht="15.75" hidden="false" customHeight="true" outlineLevel="0" collapsed="false">
      <c r="A865" s="2" t="s">
        <v>91</v>
      </c>
      <c r="B865" s="2" t="s">
        <v>364</v>
      </c>
      <c r="C865" s="1" t="str">
        <f aca="false">A865&amp;B865</f>
        <v>3470110003</v>
      </c>
      <c r="D865" s="13" t="n">
        <v>283285318.28</v>
      </c>
    </row>
    <row r="866" customFormat="false" ht="15.75" hidden="false" customHeight="true" outlineLevel="0" collapsed="false">
      <c r="A866" s="2" t="s">
        <v>91</v>
      </c>
      <c r="B866" s="2" t="s">
        <v>365</v>
      </c>
      <c r="C866" s="1" t="str">
        <f aca="false">A866&amp;B866</f>
        <v>3470110004</v>
      </c>
      <c r="D866" s="13" t="n">
        <v>132062621.71</v>
      </c>
    </row>
    <row r="867" customFormat="false" ht="15.75" hidden="false" customHeight="true" outlineLevel="0" collapsed="false">
      <c r="A867" s="2" t="s">
        <v>91</v>
      </c>
      <c r="B867" s="2" t="s">
        <v>307</v>
      </c>
      <c r="C867" s="1" t="str">
        <f aca="false">A867&amp;B867</f>
        <v>3470110005</v>
      </c>
      <c r="D867" s="13" t="n">
        <v>-9524.51</v>
      </c>
    </row>
    <row r="868" customFormat="false" ht="15.75" hidden="false" customHeight="true" outlineLevel="0" collapsed="false">
      <c r="A868" s="2" t="s">
        <v>91</v>
      </c>
      <c r="B868" s="2" t="s">
        <v>261</v>
      </c>
      <c r="C868" s="1" t="str">
        <f aca="false">A868&amp;B868</f>
        <v>3470110050</v>
      </c>
      <c r="D868" s="13" t="n">
        <v>-265486.65</v>
      </c>
    </row>
    <row r="869" customFormat="false" ht="15.75" hidden="false" customHeight="true" outlineLevel="0" collapsed="false">
      <c r="A869" s="2" t="s">
        <v>91</v>
      </c>
      <c r="B869" s="2" t="s">
        <v>309</v>
      </c>
      <c r="C869" s="1" t="str">
        <f aca="false">A869&amp;B869</f>
        <v>3470110051</v>
      </c>
      <c r="D869" s="13" t="n">
        <v>-156446.78</v>
      </c>
    </row>
    <row r="870" customFormat="false" ht="15.75" hidden="false" customHeight="true" outlineLevel="0" collapsed="false">
      <c r="A870" s="2" t="s">
        <v>91</v>
      </c>
      <c r="B870" s="2" t="s">
        <v>366</v>
      </c>
      <c r="C870" s="1" t="str">
        <f aca="false">A870&amp;B870</f>
        <v>3470110052</v>
      </c>
      <c r="D870" s="13" t="n">
        <v>191722.63</v>
      </c>
    </row>
    <row r="871" customFormat="false" ht="15.75" hidden="false" customHeight="true" outlineLevel="0" collapsed="false">
      <c r="A871" s="2" t="s">
        <v>91</v>
      </c>
      <c r="B871" s="2" t="s">
        <v>367</v>
      </c>
      <c r="C871" s="1" t="str">
        <f aca="false">A871&amp;B871</f>
        <v>3470110053</v>
      </c>
      <c r="D871" s="13" t="n">
        <v>-83129.18</v>
      </c>
    </row>
    <row r="872" customFormat="false" ht="15.75" hidden="false" customHeight="true" outlineLevel="0" collapsed="false">
      <c r="A872" s="2" t="s">
        <v>91</v>
      </c>
      <c r="B872" s="2" t="s">
        <v>262</v>
      </c>
      <c r="C872" s="1" t="str">
        <f aca="false">A872&amp;B872</f>
        <v>3470110054</v>
      </c>
      <c r="D872" s="13" t="n">
        <v>36400611.92</v>
      </c>
    </row>
    <row r="873" customFormat="false" ht="15.75" hidden="false" customHeight="true" outlineLevel="0" collapsed="false">
      <c r="A873" s="2" t="s">
        <v>91</v>
      </c>
      <c r="B873" s="2" t="s">
        <v>129</v>
      </c>
      <c r="C873" s="1" t="str">
        <f aca="false">A873&amp;B873</f>
        <v>3470110098</v>
      </c>
      <c r="D873" s="13" t="n">
        <v>62440709.36</v>
      </c>
    </row>
    <row r="874" customFormat="false" ht="15.75" hidden="false" customHeight="true" outlineLevel="0" collapsed="false">
      <c r="A874" s="2" t="s">
        <v>91</v>
      </c>
      <c r="B874" s="2" t="s">
        <v>368</v>
      </c>
      <c r="C874" s="1" t="str">
        <f aca="false">A874&amp;B874</f>
        <v>3470110100</v>
      </c>
      <c r="D874" s="13" t="n">
        <v>9881232.38</v>
      </c>
    </row>
    <row r="875" customFormat="false" ht="15.75" hidden="false" customHeight="true" outlineLevel="0" collapsed="false">
      <c r="A875" s="2" t="s">
        <v>91</v>
      </c>
      <c r="B875" s="2" t="s">
        <v>369</v>
      </c>
      <c r="C875" s="1" t="str">
        <f aca="false">A875&amp;B875</f>
        <v>3470110101</v>
      </c>
      <c r="D875" s="13" t="n">
        <v>3315036.4</v>
      </c>
    </row>
    <row r="876" customFormat="false" ht="15.75" hidden="false" customHeight="true" outlineLevel="0" collapsed="false">
      <c r="A876" s="2" t="s">
        <v>91</v>
      </c>
      <c r="B876" s="2" t="s">
        <v>370</v>
      </c>
      <c r="C876" s="1" t="str">
        <f aca="false">A876&amp;B876</f>
        <v>3470110102</v>
      </c>
      <c r="D876" s="13" t="n">
        <v>52676.08</v>
      </c>
    </row>
    <row r="877" customFormat="false" ht="15.75" hidden="false" customHeight="true" outlineLevel="0" collapsed="false">
      <c r="A877" s="2" t="s">
        <v>91</v>
      </c>
      <c r="B877" s="2" t="s">
        <v>371</v>
      </c>
      <c r="C877" s="1" t="str">
        <f aca="false">A877&amp;B877</f>
        <v>3470110103</v>
      </c>
      <c r="D877" s="13" t="n">
        <v>-1034.86</v>
      </c>
    </row>
    <row r="878" customFormat="false" ht="15.75" hidden="false" customHeight="true" outlineLevel="0" collapsed="false">
      <c r="A878" s="2" t="s">
        <v>91</v>
      </c>
      <c r="B878" s="2" t="s">
        <v>372</v>
      </c>
      <c r="C878" s="1" t="str">
        <f aca="false">A878&amp;B878</f>
        <v>3470111000</v>
      </c>
      <c r="D878" s="13" t="n">
        <v>-89955351.54</v>
      </c>
    </row>
    <row r="879" customFormat="false" ht="15.75" hidden="false" customHeight="true" outlineLevel="0" collapsed="false">
      <c r="A879" s="2" t="s">
        <v>91</v>
      </c>
      <c r="B879" s="2" t="s">
        <v>373</v>
      </c>
      <c r="C879" s="1" t="str">
        <f aca="false">A879&amp;B879</f>
        <v>3470111001</v>
      </c>
      <c r="D879" s="13" t="n">
        <v>-29115449.76</v>
      </c>
    </row>
    <row r="880" customFormat="false" ht="15.75" hidden="false" customHeight="true" outlineLevel="0" collapsed="false">
      <c r="A880" s="2" t="s">
        <v>91</v>
      </c>
      <c r="B880" s="2" t="s">
        <v>311</v>
      </c>
      <c r="C880" s="1" t="str">
        <f aca="false">A880&amp;B880</f>
        <v>3470111002</v>
      </c>
      <c r="D880" s="13" t="n">
        <v>0</v>
      </c>
    </row>
    <row r="881" customFormat="false" ht="15.75" hidden="false" customHeight="true" outlineLevel="0" collapsed="false">
      <c r="A881" s="2" t="s">
        <v>91</v>
      </c>
      <c r="B881" s="2" t="s">
        <v>239</v>
      </c>
      <c r="C881" s="1" t="str">
        <f aca="false">A881&amp;B881</f>
        <v>3470112000</v>
      </c>
      <c r="D881" s="13" t="n">
        <v>-672653.56</v>
      </c>
    </row>
    <row r="882" customFormat="false" ht="15.75" hidden="false" customHeight="true" outlineLevel="0" collapsed="false">
      <c r="A882" s="2" t="s">
        <v>91</v>
      </c>
      <c r="B882" s="2" t="s">
        <v>240</v>
      </c>
      <c r="C882" s="1" t="str">
        <f aca="false">A882&amp;B882</f>
        <v>3470112001</v>
      </c>
      <c r="D882" s="13" t="n">
        <v>-39300.58</v>
      </c>
    </row>
    <row r="883" customFormat="false" ht="15.75" hidden="false" customHeight="true" outlineLevel="0" collapsed="false">
      <c r="A883" s="2" t="s">
        <v>91</v>
      </c>
      <c r="B883" s="2" t="s">
        <v>130</v>
      </c>
      <c r="C883" s="1" t="str">
        <f aca="false">A883&amp;B883</f>
        <v>3470113000</v>
      </c>
      <c r="D883" s="13" t="n">
        <v>536284159.8</v>
      </c>
    </row>
    <row r="884" customFormat="false" ht="15.75" hidden="false" customHeight="true" outlineLevel="0" collapsed="false">
      <c r="A884" s="2" t="s">
        <v>91</v>
      </c>
      <c r="B884" s="2" t="s">
        <v>374</v>
      </c>
      <c r="C884" s="1" t="str">
        <f aca="false">A884&amp;B884</f>
        <v>3470113001</v>
      </c>
      <c r="D884" s="13" t="n">
        <v>150785578.68</v>
      </c>
    </row>
    <row r="885" customFormat="false" ht="15.75" hidden="false" customHeight="true" outlineLevel="0" collapsed="false">
      <c r="A885" s="2" t="s">
        <v>91</v>
      </c>
      <c r="B885" s="2" t="s">
        <v>312</v>
      </c>
      <c r="C885" s="1" t="str">
        <f aca="false">A885&amp;B885</f>
        <v>3470113090</v>
      </c>
      <c r="D885" s="13" t="n">
        <v>692193.29</v>
      </c>
    </row>
    <row r="886" customFormat="false" ht="15.75" hidden="false" customHeight="true" outlineLevel="0" collapsed="false">
      <c r="A886" s="2" t="s">
        <v>91</v>
      </c>
      <c r="B886" s="2" t="s">
        <v>375</v>
      </c>
      <c r="C886" s="1" t="str">
        <f aca="false">A886&amp;B886</f>
        <v>3470120010</v>
      </c>
      <c r="D886" s="13" t="n">
        <v>28362582.9</v>
      </c>
    </row>
    <row r="887" customFormat="false" ht="15.75" hidden="false" customHeight="true" outlineLevel="0" collapsed="false">
      <c r="A887" s="2" t="s">
        <v>91</v>
      </c>
      <c r="B887" s="2" t="s">
        <v>376</v>
      </c>
      <c r="C887" s="1" t="str">
        <f aca="false">A887&amp;B887</f>
        <v>3470120020</v>
      </c>
      <c r="D887" s="13" t="n">
        <v>34731744.27</v>
      </c>
    </row>
    <row r="888" customFormat="false" ht="15.75" hidden="false" customHeight="true" outlineLevel="0" collapsed="false">
      <c r="A888" s="2" t="s">
        <v>91</v>
      </c>
      <c r="B888" s="2" t="s">
        <v>377</v>
      </c>
      <c r="C888" s="1" t="str">
        <f aca="false">A888&amp;B888</f>
        <v>3470120030</v>
      </c>
      <c r="D888" s="13" t="n">
        <v>0</v>
      </c>
    </row>
    <row r="889" customFormat="false" ht="15.75" hidden="false" customHeight="true" outlineLevel="0" collapsed="false">
      <c r="A889" s="2" t="s">
        <v>91</v>
      </c>
      <c r="B889" s="2" t="s">
        <v>378</v>
      </c>
      <c r="C889" s="1" t="str">
        <f aca="false">A889&amp;B889</f>
        <v>3470120031</v>
      </c>
      <c r="D889" s="13" t="n">
        <v>122233266.6</v>
      </c>
    </row>
    <row r="890" customFormat="false" ht="15.75" hidden="false" customHeight="true" outlineLevel="0" collapsed="false">
      <c r="A890" s="2" t="s">
        <v>91</v>
      </c>
      <c r="B890" s="2" t="s">
        <v>132</v>
      </c>
      <c r="C890" s="1" t="str">
        <f aca="false">A890&amp;B890</f>
        <v>3470120040</v>
      </c>
      <c r="D890" s="13" t="n">
        <v>3918587.7</v>
      </c>
    </row>
    <row r="891" customFormat="false" ht="15.75" hidden="false" customHeight="true" outlineLevel="0" collapsed="false">
      <c r="A891" s="2" t="s">
        <v>91</v>
      </c>
      <c r="B891" s="2" t="s">
        <v>379</v>
      </c>
      <c r="C891" s="1" t="str">
        <f aca="false">A891&amp;B891</f>
        <v>3470130000</v>
      </c>
      <c r="D891" s="13" t="n">
        <v>-2809992.02</v>
      </c>
    </row>
    <row r="892" customFormat="false" ht="15.75" hidden="false" customHeight="true" outlineLevel="0" collapsed="false">
      <c r="A892" s="2" t="s">
        <v>91</v>
      </c>
      <c r="B892" s="2" t="s">
        <v>380</v>
      </c>
      <c r="C892" s="1" t="str">
        <f aca="false">A892&amp;B892</f>
        <v>3470130001</v>
      </c>
      <c r="D892" s="13" t="n">
        <v>262155607.37</v>
      </c>
    </row>
    <row r="893" customFormat="false" ht="15.75" hidden="false" customHeight="true" outlineLevel="0" collapsed="false">
      <c r="A893" s="2" t="s">
        <v>91</v>
      </c>
      <c r="B893" s="2" t="s">
        <v>381</v>
      </c>
      <c r="C893" s="1" t="str">
        <f aca="false">A893&amp;B893</f>
        <v>3470130100</v>
      </c>
      <c r="D893" s="13" t="n">
        <v>206183980.89</v>
      </c>
    </row>
    <row r="894" customFormat="false" ht="15.75" hidden="false" customHeight="true" outlineLevel="0" collapsed="false">
      <c r="A894" s="2" t="s">
        <v>91</v>
      </c>
      <c r="B894" s="2" t="s">
        <v>382</v>
      </c>
      <c r="C894" s="1" t="str">
        <f aca="false">A894&amp;B894</f>
        <v>3470130101</v>
      </c>
      <c r="D894" s="13" t="n">
        <v>-88284043.32</v>
      </c>
    </row>
    <row r="895" customFormat="false" ht="15.75" hidden="false" customHeight="true" outlineLevel="0" collapsed="false">
      <c r="A895" s="2" t="s">
        <v>91</v>
      </c>
      <c r="B895" s="2" t="s">
        <v>383</v>
      </c>
      <c r="C895" s="1" t="str">
        <f aca="false">A895&amp;B895</f>
        <v>3470130110</v>
      </c>
      <c r="D895" s="13" t="n">
        <v>36262941.07</v>
      </c>
    </row>
    <row r="896" customFormat="false" ht="15.75" hidden="false" customHeight="true" outlineLevel="0" collapsed="false">
      <c r="A896" s="2" t="s">
        <v>91</v>
      </c>
      <c r="B896" s="2" t="s">
        <v>384</v>
      </c>
      <c r="C896" s="1" t="str">
        <f aca="false">A896&amp;B896</f>
        <v>3470130111</v>
      </c>
      <c r="D896" s="13" t="n">
        <v>-16544833.27</v>
      </c>
    </row>
    <row r="897" customFormat="false" ht="15.75" hidden="false" customHeight="true" outlineLevel="0" collapsed="false">
      <c r="A897" s="2" t="s">
        <v>91</v>
      </c>
      <c r="B897" s="2" t="s">
        <v>385</v>
      </c>
      <c r="C897" s="1" t="str">
        <f aca="false">A897&amp;B897</f>
        <v>3470130300</v>
      </c>
      <c r="D897" s="13" t="n">
        <v>12066460.95</v>
      </c>
    </row>
    <row r="898" customFormat="false" ht="15.75" hidden="false" customHeight="true" outlineLevel="0" collapsed="false">
      <c r="A898" s="2" t="s">
        <v>91</v>
      </c>
      <c r="B898" s="2" t="s">
        <v>241</v>
      </c>
      <c r="C898" s="1" t="str">
        <f aca="false">A898&amp;B898</f>
        <v>3470140001</v>
      </c>
      <c r="D898" s="13" t="n">
        <v>13308.69</v>
      </c>
    </row>
    <row r="899" customFormat="false" ht="15.75" hidden="false" customHeight="true" outlineLevel="0" collapsed="false">
      <c r="A899" s="2" t="s">
        <v>91</v>
      </c>
      <c r="B899" s="2" t="s">
        <v>133</v>
      </c>
      <c r="C899" s="1" t="str">
        <f aca="false">A899&amp;B899</f>
        <v>3470140002</v>
      </c>
      <c r="D899" s="13" t="n">
        <v>11641938.76</v>
      </c>
    </row>
    <row r="900" customFormat="false" ht="15.75" hidden="false" customHeight="true" outlineLevel="0" collapsed="false">
      <c r="A900" s="2" t="s">
        <v>91</v>
      </c>
      <c r="B900" s="2" t="s">
        <v>134</v>
      </c>
      <c r="C900" s="1" t="str">
        <f aca="false">A900&amp;B900</f>
        <v>3470160000</v>
      </c>
      <c r="D900" s="13" t="n">
        <v>999287.08</v>
      </c>
    </row>
    <row r="901" customFormat="false" ht="15.75" hidden="false" customHeight="true" outlineLevel="0" collapsed="false">
      <c r="A901" s="2" t="s">
        <v>91</v>
      </c>
      <c r="B901" s="2" t="s">
        <v>137</v>
      </c>
      <c r="C901" s="1" t="str">
        <f aca="false">A901&amp;B901</f>
        <v>3470160200</v>
      </c>
      <c r="D901" s="13" t="n">
        <v>5974273.54</v>
      </c>
    </row>
    <row r="902" customFormat="false" ht="15.75" hidden="false" customHeight="true" outlineLevel="0" collapsed="false">
      <c r="A902" s="2" t="s">
        <v>91</v>
      </c>
      <c r="B902" s="2" t="s">
        <v>138</v>
      </c>
      <c r="C902" s="1" t="str">
        <f aca="false">A902&amp;B902</f>
        <v>3470160201</v>
      </c>
      <c r="D902" s="13" t="n">
        <v>22360917.08</v>
      </c>
    </row>
    <row r="903" customFormat="false" ht="15.75" hidden="false" customHeight="true" outlineLevel="0" collapsed="false">
      <c r="A903" s="2" t="s">
        <v>91</v>
      </c>
      <c r="B903" s="2" t="s">
        <v>139</v>
      </c>
      <c r="C903" s="1" t="str">
        <f aca="false">A903&amp;B903</f>
        <v>3470160250</v>
      </c>
      <c r="D903" s="13" t="n">
        <v>-809089.35</v>
      </c>
    </row>
    <row r="904" customFormat="false" ht="15.75" hidden="false" customHeight="true" outlineLevel="0" collapsed="false">
      <c r="A904" s="2" t="s">
        <v>91</v>
      </c>
      <c r="B904" s="2" t="s">
        <v>140</v>
      </c>
      <c r="C904" s="1" t="str">
        <f aca="false">A904&amp;B904</f>
        <v>3470160251</v>
      </c>
      <c r="D904" s="13" t="n">
        <v>-20756301.48</v>
      </c>
    </row>
    <row r="905" customFormat="false" ht="15.75" hidden="false" customHeight="true" outlineLevel="0" collapsed="false">
      <c r="A905" s="2" t="s">
        <v>91</v>
      </c>
      <c r="B905" s="2" t="s">
        <v>299</v>
      </c>
      <c r="C905" s="1" t="str">
        <f aca="false">A905&amp;B905</f>
        <v>3470160300</v>
      </c>
      <c r="D905" s="13" t="n">
        <v>4272436.21</v>
      </c>
    </row>
    <row r="906" customFormat="false" ht="15.75" hidden="false" customHeight="true" outlineLevel="0" collapsed="false">
      <c r="A906" s="2" t="s">
        <v>91</v>
      </c>
      <c r="B906" s="2" t="s">
        <v>269</v>
      </c>
      <c r="C906" s="1" t="str">
        <f aca="false">A906&amp;B906</f>
        <v>3470160301</v>
      </c>
      <c r="D906" s="13" t="n">
        <v>12702055.78</v>
      </c>
    </row>
    <row r="907" customFormat="false" ht="15.75" hidden="false" customHeight="true" outlineLevel="0" collapsed="false">
      <c r="A907" s="2" t="s">
        <v>91</v>
      </c>
      <c r="B907" s="2" t="s">
        <v>300</v>
      </c>
      <c r="C907" s="1" t="str">
        <f aca="false">A907&amp;B907</f>
        <v>3470160350</v>
      </c>
      <c r="D907" s="13" t="n">
        <v>-3275534.39</v>
      </c>
    </row>
    <row r="908" customFormat="false" ht="15.75" hidden="false" customHeight="true" outlineLevel="0" collapsed="false">
      <c r="A908" s="2" t="s">
        <v>91</v>
      </c>
      <c r="B908" s="2" t="s">
        <v>270</v>
      </c>
      <c r="C908" s="1" t="str">
        <f aca="false">A908&amp;B908</f>
        <v>3470160351</v>
      </c>
      <c r="D908" s="13" t="n">
        <v>-586052.02</v>
      </c>
    </row>
    <row r="909" customFormat="false" ht="15.75" hidden="false" customHeight="true" outlineLevel="0" collapsed="false">
      <c r="A909" s="2" t="s">
        <v>91</v>
      </c>
      <c r="B909" s="2" t="s">
        <v>143</v>
      </c>
      <c r="C909" s="1" t="str">
        <f aca="false">A909&amp;B909</f>
        <v>3470165200</v>
      </c>
      <c r="D909" s="13" t="n">
        <v>0</v>
      </c>
    </row>
    <row r="910" customFormat="false" ht="15.75" hidden="false" customHeight="true" outlineLevel="0" collapsed="false">
      <c r="A910" s="2" t="s">
        <v>91</v>
      </c>
      <c r="B910" s="2" t="s">
        <v>242</v>
      </c>
      <c r="C910" s="1" t="str">
        <f aca="false">A910&amp;B910</f>
        <v>3470165201</v>
      </c>
      <c r="D910" s="13" t="n">
        <v>725645.01</v>
      </c>
    </row>
    <row r="911" customFormat="false" ht="15.75" hidden="false" customHeight="true" outlineLevel="0" collapsed="false">
      <c r="A911" s="2" t="s">
        <v>91</v>
      </c>
      <c r="B911" s="2" t="s">
        <v>386</v>
      </c>
      <c r="C911" s="1" t="str">
        <f aca="false">A911&amp;B911</f>
        <v>3470165301</v>
      </c>
      <c r="D911" s="13" t="n">
        <v>0</v>
      </c>
    </row>
    <row r="912" customFormat="false" ht="15.75" hidden="false" customHeight="true" outlineLevel="0" collapsed="false">
      <c r="A912" s="2" t="s">
        <v>91</v>
      </c>
      <c r="B912" s="2" t="s">
        <v>144</v>
      </c>
      <c r="C912" s="1" t="str">
        <f aca="false">A912&amp;B912</f>
        <v>3470169999</v>
      </c>
      <c r="D912" s="13" t="n">
        <v>0</v>
      </c>
    </row>
    <row r="913" customFormat="false" ht="15.75" hidden="false" customHeight="true" outlineLevel="0" collapsed="false">
      <c r="A913" s="2" t="s">
        <v>91</v>
      </c>
      <c r="B913" s="2" t="s">
        <v>387</v>
      </c>
      <c r="C913" s="1" t="str">
        <f aca="false">A913&amp;B913</f>
        <v>3470170000</v>
      </c>
      <c r="D913" s="13" t="n">
        <v>2062994116.77</v>
      </c>
    </row>
    <row r="914" customFormat="false" ht="15.75" hidden="false" customHeight="true" outlineLevel="0" collapsed="false">
      <c r="A914" s="2" t="s">
        <v>91</v>
      </c>
      <c r="B914" s="2" t="s">
        <v>388</v>
      </c>
      <c r="C914" s="1" t="str">
        <f aca="false">A914&amp;B914</f>
        <v>3470170050</v>
      </c>
      <c r="D914" s="13" t="n">
        <v>-1176000000</v>
      </c>
    </row>
    <row r="915" customFormat="false" ht="15.75" hidden="false" customHeight="true" outlineLevel="0" collapsed="false">
      <c r="A915" s="2" t="s">
        <v>91</v>
      </c>
      <c r="B915" s="2" t="s">
        <v>389</v>
      </c>
      <c r="C915" s="1" t="str">
        <f aca="false">A915&amp;B915</f>
        <v>3470170100</v>
      </c>
      <c r="D915" s="13" t="n">
        <v>187400000</v>
      </c>
    </row>
    <row r="916" customFormat="false" ht="15.75" hidden="false" customHeight="true" outlineLevel="0" collapsed="false">
      <c r="A916" s="2" t="s">
        <v>91</v>
      </c>
      <c r="B916" s="2" t="s">
        <v>390</v>
      </c>
      <c r="C916" s="1" t="str">
        <f aca="false">A916&amp;B916</f>
        <v>3470170101</v>
      </c>
      <c r="D916" s="13" t="n">
        <v>0</v>
      </c>
    </row>
    <row r="917" customFormat="false" ht="15.75" hidden="false" customHeight="true" outlineLevel="0" collapsed="false">
      <c r="A917" s="2" t="s">
        <v>91</v>
      </c>
      <c r="B917" s="2" t="s">
        <v>391</v>
      </c>
      <c r="C917" s="1" t="str">
        <f aca="false">A917&amp;B917</f>
        <v>3470170103</v>
      </c>
      <c r="D917" s="13" t="n">
        <v>72672813.71</v>
      </c>
    </row>
    <row r="918" customFormat="false" ht="15.75" hidden="false" customHeight="true" outlineLevel="0" collapsed="false">
      <c r="A918" s="2" t="s">
        <v>91</v>
      </c>
      <c r="B918" s="2" t="s">
        <v>392</v>
      </c>
      <c r="C918" s="1" t="str">
        <f aca="false">A918&amp;B918</f>
        <v>3470170150</v>
      </c>
      <c r="D918" s="13" t="n">
        <v>-144809090.64</v>
      </c>
    </row>
    <row r="919" customFormat="false" ht="15.75" hidden="false" customHeight="true" outlineLevel="0" collapsed="false">
      <c r="A919" s="2" t="s">
        <v>91</v>
      </c>
      <c r="B919" s="2" t="s">
        <v>393</v>
      </c>
      <c r="C919" s="1" t="str">
        <f aca="false">A919&amp;B919</f>
        <v>3470170151</v>
      </c>
      <c r="D919" s="13" t="n">
        <v>0</v>
      </c>
    </row>
    <row r="920" customFormat="false" ht="15.75" hidden="false" customHeight="true" outlineLevel="0" collapsed="false">
      <c r="A920" s="2" t="s">
        <v>91</v>
      </c>
      <c r="B920" s="2" t="s">
        <v>394</v>
      </c>
      <c r="C920" s="1" t="str">
        <f aca="false">A920&amp;B920</f>
        <v>3470170153</v>
      </c>
      <c r="D920" s="13" t="n">
        <v>-44656829.81</v>
      </c>
    </row>
    <row r="921" customFormat="false" ht="15.75" hidden="false" customHeight="true" outlineLevel="0" collapsed="false">
      <c r="A921" s="2" t="s">
        <v>91</v>
      </c>
      <c r="B921" s="2" t="s">
        <v>243</v>
      </c>
      <c r="C921" s="1" t="str">
        <f aca="false">A921&amp;B921</f>
        <v>3470170200</v>
      </c>
      <c r="D921" s="13" t="n">
        <v>344703171.48</v>
      </c>
    </row>
    <row r="922" customFormat="false" ht="15.75" hidden="false" customHeight="true" outlineLevel="0" collapsed="false">
      <c r="A922" s="2" t="s">
        <v>91</v>
      </c>
      <c r="B922" s="2" t="s">
        <v>244</v>
      </c>
      <c r="C922" s="1" t="str">
        <f aca="false">A922&amp;B922</f>
        <v>3470170250</v>
      </c>
      <c r="D922" s="13" t="n">
        <v>-268018423.52</v>
      </c>
    </row>
    <row r="923" customFormat="false" ht="15.75" hidden="false" customHeight="true" outlineLevel="0" collapsed="false">
      <c r="A923" s="2" t="s">
        <v>91</v>
      </c>
      <c r="B923" s="2" t="s">
        <v>395</v>
      </c>
      <c r="C923" s="1" t="str">
        <f aca="false">A923&amp;B923</f>
        <v>3470170300</v>
      </c>
      <c r="D923" s="13" t="n">
        <v>36600000</v>
      </c>
    </row>
    <row r="924" customFormat="false" ht="15.75" hidden="false" customHeight="true" outlineLevel="0" collapsed="false">
      <c r="A924" s="2" t="s">
        <v>91</v>
      </c>
      <c r="B924" s="2" t="s">
        <v>396</v>
      </c>
      <c r="C924" s="1" t="str">
        <f aca="false">A924&amp;B924</f>
        <v>3470170304</v>
      </c>
      <c r="D924" s="13" t="n">
        <v>6613079.57</v>
      </c>
    </row>
    <row r="925" customFormat="false" ht="15.75" hidden="false" customHeight="true" outlineLevel="0" collapsed="false">
      <c r="A925" s="2" t="s">
        <v>91</v>
      </c>
      <c r="B925" s="2" t="s">
        <v>397</v>
      </c>
      <c r="C925" s="1" t="str">
        <f aca="false">A925&amp;B925</f>
        <v>3470170350</v>
      </c>
      <c r="D925" s="13" t="n">
        <v>-26170887.5</v>
      </c>
    </row>
    <row r="926" customFormat="false" ht="15.75" hidden="false" customHeight="true" outlineLevel="0" collapsed="false">
      <c r="A926" s="2" t="s">
        <v>91</v>
      </c>
      <c r="B926" s="2" t="s">
        <v>398</v>
      </c>
      <c r="C926" s="1" t="str">
        <f aca="false">A926&amp;B926</f>
        <v>3470170354</v>
      </c>
      <c r="D926" s="13" t="n">
        <v>-6050319.86</v>
      </c>
    </row>
    <row r="927" customFormat="false" ht="15.75" hidden="false" customHeight="true" outlineLevel="0" collapsed="false">
      <c r="A927" s="2" t="s">
        <v>91</v>
      </c>
      <c r="B927" s="2" t="s">
        <v>245</v>
      </c>
      <c r="C927" s="1" t="str">
        <f aca="false">A927&amp;B927</f>
        <v>3470175000</v>
      </c>
      <c r="D927" s="13" t="n">
        <v>5020434.18</v>
      </c>
    </row>
    <row r="928" customFormat="false" ht="15.75" hidden="false" customHeight="true" outlineLevel="0" collapsed="false">
      <c r="A928" s="2" t="s">
        <v>91</v>
      </c>
      <c r="B928" s="2" t="s">
        <v>399</v>
      </c>
      <c r="C928" s="1" t="str">
        <f aca="false">A928&amp;B928</f>
        <v>3470180100</v>
      </c>
      <c r="D928" s="13" t="n">
        <v>321345293.21</v>
      </c>
    </row>
    <row r="929" customFormat="false" ht="15.75" hidden="false" customHeight="true" outlineLevel="0" collapsed="false">
      <c r="A929" s="2" t="s">
        <v>91</v>
      </c>
      <c r="B929" s="2" t="s">
        <v>400</v>
      </c>
      <c r="C929" s="1" t="str">
        <f aca="false">A929&amp;B929</f>
        <v>3470180101</v>
      </c>
      <c r="D929" s="13" t="n">
        <v>-72828544.3</v>
      </c>
    </row>
    <row r="930" customFormat="false" ht="15.75" hidden="false" customHeight="true" outlineLevel="0" collapsed="false">
      <c r="A930" s="2" t="s">
        <v>91</v>
      </c>
      <c r="B930" s="2" t="s">
        <v>401</v>
      </c>
      <c r="C930" s="1" t="str">
        <f aca="false">A930&amp;B930</f>
        <v>3470180110</v>
      </c>
      <c r="D930" s="13" t="n">
        <v>9864080.41</v>
      </c>
    </row>
    <row r="931" customFormat="false" ht="15.75" hidden="false" customHeight="true" outlineLevel="0" collapsed="false">
      <c r="A931" s="2" t="s">
        <v>91</v>
      </c>
      <c r="B931" s="2" t="s">
        <v>402</v>
      </c>
      <c r="C931" s="1" t="str">
        <f aca="false">A931&amp;B931</f>
        <v>3470180111</v>
      </c>
      <c r="D931" s="13" t="n">
        <v>-4713676.43</v>
      </c>
    </row>
    <row r="932" customFormat="false" ht="15.75" hidden="false" customHeight="true" outlineLevel="0" collapsed="false">
      <c r="A932" s="2" t="s">
        <v>91</v>
      </c>
      <c r="B932" s="2" t="s">
        <v>188</v>
      </c>
      <c r="C932" s="1" t="str">
        <f aca="false">A932&amp;B932</f>
        <v>3470191000</v>
      </c>
      <c r="D932" s="13" t="n">
        <v>9160771.71</v>
      </c>
    </row>
    <row r="933" customFormat="false" ht="15.75" hidden="false" customHeight="true" outlineLevel="0" collapsed="false">
      <c r="A933" s="2" t="s">
        <v>91</v>
      </c>
      <c r="B933" s="2" t="s">
        <v>145</v>
      </c>
      <c r="C933" s="1" t="str">
        <f aca="false">A933&amp;B933</f>
        <v>3470193000</v>
      </c>
      <c r="D933" s="13" t="n">
        <v>104863635.04</v>
      </c>
    </row>
    <row r="934" customFormat="false" ht="15.75" hidden="false" customHeight="true" outlineLevel="0" collapsed="false">
      <c r="A934" s="2" t="s">
        <v>91</v>
      </c>
      <c r="B934" s="2" t="s">
        <v>146</v>
      </c>
      <c r="C934" s="1" t="str">
        <f aca="false">A934&amp;B934</f>
        <v>3470200000</v>
      </c>
      <c r="D934" s="13" t="n">
        <v>-177310.29</v>
      </c>
    </row>
    <row r="935" customFormat="false" ht="15.75" hidden="false" customHeight="true" outlineLevel="0" collapsed="false">
      <c r="A935" s="2" t="s">
        <v>91</v>
      </c>
      <c r="B935" s="2" t="s">
        <v>147</v>
      </c>
      <c r="C935" s="1" t="str">
        <f aca="false">A935&amp;B935</f>
        <v>3470200004</v>
      </c>
      <c r="D935" s="13" t="n">
        <v>193774.34</v>
      </c>
    </row>
    <row r="936" customFormat="false" ht="15.75" hidden="false" customHeight="true" outlineLevel="0" collapsed="false">
      <c r="A936" s="2" t="s">
        <v>91</v>
      </c>
      <c r="B936" s="2" t="s">
        <v>317</v>
      </c>
      <c r="C936" s="1" t="str">
        <f aca="false">A936&amp;B936</f>
        <v>3470200006</v>
      </c>
      <c r="D936" s="13" t="n">
        <v>22528.95</v>
      </c>
    </row>
    <row r="937" customFormat="false" ht="15.75" hidden="false" customHeight="true" outlineLevel="0" collapsed="false">
      <c r="A937" s="2" t="s">
        <v>91</v>
      </c>
      <c r="B937" s="2" t="s">
        <v>246</v>
      </c>
      <c r="C937" s="1" t="str">
        <f aca="false">A937&amp;B937</f>
        <v>3470200007</v>
      </c>
      <c r="D937" s="13" t="n">
        <v>-109648.7</v>
      </c>
    </row>
    <row r="938" customFormat="false" ht="15.75" hidden="false" customHeight="true" outlineLevel="0" collapsed="false">
      <c r="A938" s="2" t="s">
        <v>91</v>
      </c>
      <c r="B938" s="2" t="s">
        <v>148</v>
      </c>
      <c r="C938" s="1" t="str">
        <f aca="false">A938&amp;B938</f>
        <v>3470200098</v>
      </c>
      <c r="D938" s="13" t="n">
        <v>-4498685.25</v>
      </c>
    </row>
    <row r="939" customFormat="false" ht="15.75" hidden="false" customHeight="true" outlineLevel="0" collapsed="false">
      <c r="A939" s="2" t="s">
        <v>91</v>
      </c>
      <c r="B939" s="2" t="s">
        <v>403</v>
      </c>
      <c r="C939" s="1" t="str">
        <f aca="false">A939&amp;B939</f>
        <v>3470200100</v>
      </c>
      <c r="D939" s="13" t="n">
        <v>15196.73</v>
      </c>
    </row>
    <row r="940" customFormat="false" ht="15.75" hidden="false" customHeight="true" outlineLevel="0" collapsed="false">
      <c r="A940" s="2" t="s">
        <v>91</v>
      </c>
      <c r="B940" s="2" t="s">
        <v>404</v>
      </c>
      <c r="C940" s="1" t="str">
        <f aca="false">A940&amp;B940</f>
        <v>3470200101</v>
      </c>
      <c r="D940" s="13" t="n">
        <v>-6543.66</v>
      </c>
    </row>
    <row r="941" customFormat="false" ht="15.75" hidden="false" customHeight="true" outlineLevel="0" collapsed="false">
      <c r="A941" s="2" t="s">
        <v>91</v>
      </c>
      <c r="B941" s="2" t="s">
        <v>259</v>
      </c>
      <c r="C941" s="1" t="str">
        <f aca="false">A941&amp;B941</f>
        <v>3470200200</v>
      </c>
      <c r="D941" s="13" t="n">
        <v>-3492426.24</v>
      </c>
    </row>
    <row r="942" customFormat="false" ht="15.75" hidden="false" customHeight="true" outlineLevel="0" collapsed="false">
      <c r="A942" s="2" t="s">
        <v>91</v>
      </c>
      <c r="B942" s="2" t="s">
        <v>405</v>
      </c>
      <c r="C942" s="1" t="str">
        <f aca="false">A942&amp;B942</f>
        <v>3470200201</v>
      </c>
      <c r="D942" s="13" t="n">
        <v>-332255.71</v>
      </c>
    </row>
    <row r="943" customFormat="false" ht="15.75" hidden="false" customHeight="true" outlineLevel="0" collapsed="false">
      <c r="A943" s="2" t="s">
        <v>91</v>
      </c>
      <c r="B943" s="2" t="s">
        <v>406</v>
      </c>
      <c r="C943" s="1" t="str">
        <f aca="false">A943&amp;B943</f>
        <v>3470200202</v>
      </c>
      <c r="D943" s="13" t="n">
        <v>341861.39</v>
      </c>
    </row>
    <row r="944" customFormat="false" ht="15.75" hidden="false" customHeight="true" outlineLevel="0" collapsed="false">
      <c r="A944" s="2" t="s">
        <v>91</v>
      </c>
      <c r="B944" s="2" t="s">
        <v>247</v>
      </c>
      <c r="C944" s="1" t="str">
        <f aca="false">A944&amp;B944</f>
        <v>3470200203</v>
      </c>
      <c r="D944" s="13" t="n">
        <v>9320302.12</v>
      </c>
    </row>
    <row r="945" customFormat="false" ht="15.75" hidden="false" customHeight="true" outlineLevel="0" collapsed="false">
      <c r="A945" s="2" t="s">
        <v>91</v>
      </c>
      <c r="B945" s="2" t="s">
        <v>248</v>
      </c>
      <c r="C945" s="1" t="str">
        <f aca="false">A945&amp;B945</f>
        <v>3470200205</v>
      </c>
      <c r="D945" s="13" t="n">
        <v>395878.1</v>
      </c>
    </row>
    <row r="946" customFormat="false" ht="15.75" hidden="false" customHeight="true" outlineLevel="0" collapsed="false">
      <c r="A946" s="2" t="s">
        <v>91</v>
      </c>
      <c r="B946" s="2" t="s">
        <v>249</v>
      </c>
      <c r="C946" s="1" t="str">
        <f aca="false">A946&amp;B946</f>
        <v>3470200206</v>
      </c>
      <c r="D946" s="13" t="n">
        <v>-30593.83</v>
      </c>
    </row>
    <row r="947" customFormat="false" ht="15.75" hidden="false" customHeight="true" outlineLevel="0" collapsed="false">
      <c r="A947" s="2" t="s">
        <v>91</v>
      </c>
      <c r="B947" s="2" t="s">
        <v>250</v>
      </c>
      <c r="C947" s="1" t="str">
        <f aca="false">A947&amp;B947</f>
        <v>3470200207</v>
      </c>
      <c r="D947" s="13" t="n">
        <v>4584726.99</v>
      </c>
    </row>
    <row r="948" customFormat="false" ht="15.75" hidden="false" customHeight="true" outlineLevel="0" collapsed="false">
      <c r="A948" s="2" t="s">
        <v>91</v>
      </c>
      <c r="B948" s="2" t="s">
        <v>149</v>
      </c>
      <c r="C948" s="1" t="str">
        <f aca="false">A948&amp;B948</f>
        <v>3470200208</v>
      </c>
      <c r="D948" s="13" t="n">
        <v>-19247905.7</v>
      </c>
    </row>
    <row r="949" customFormat="false" ht="15.75" hidden="false" customHeight="true" outlineLevel="0" collapsed="false">
      <c r="A949" s="2" t="s">
        <v>91</v>
      </c>
      <c r="B949" s="2" t="s">
        <v>407</v>
      </c>
      <c r="C949" s="1" t="str">
        <f aca="false">A949&amp;B949</f>
        <v>3470200211</v>
      </c>
      <c r="D949" s="13" t="n">
        <v>-17.13</v>
      </c>
    </row>
    <row r="950" customFormat="false" ht="15.75" hidden="false" customHeight="true" outlineLevel="0" collapsed="false">
      <c r="A950" s="2" t="s">
        <v>91</v>
      </c>
      <c r="B950" s="2" t="s">
        <v>252</v>
      </c>
      <c r="C950" s="1" t="str">
        <f aca="false">A950&amp;B950</f>
        <v>3470200301</v>
      </c>
      <c r="D950" s="13" t="n">
        <v>-796.73</v>
      </c>
    </row>
    <row r="951" customFormat="false" ht="15.75" hidden="false" customHeight="true" outlineLevel="0" collapsed="false">
      <c r="A951" s="2" t="s">
        <v>91</v>
      </c>
      <c r="B951" s="2" t="s">
        <v>150</v>
      </c>
      <c r="C951" s="1" t="str">
        <f aca="false">A951&amp;B951</f>
        <v>3470200302</v>
      </c>
      <c r="D951" s="13" t="n">
        <v>-599625.27</v>
      </c>
    </row>
    <row r="952" customFormat="false" ht="15.75" hidden="false" customHeight="true" outlineLevel="0" collapsed="false">
      <c r="A952" s="2" t="s">
        <v>91</v>
      </c>
      <c r="B952" s="2" t="s">
        <v>151</v>
      </c>
      <c r="C952" s="1" t="str">
        <f aca="false">A952&amp;B952</f>
        <v>3470201000</v>
      </c>
      <c r="D952" s="13" t="n">
        <v>-232898227.51</v>
      </c>
    </row>
    <row r="953" customFormat="false" ht="15.75" hidden="false" customHeight="true" outlineLevel="0" collapsed="false">
      <c r="A953" s="2" t="s">
        <v>91</v>
      </c>
      <c r="B953" s="2" t="s">
        <v>152</v>
      </c>
      <c r="C953" s="1" t="str">
        <f aca="false">A953&amp;B953</f>
        <v>3470201001</v>
      </c>
      <c r="D953" s="13" t="n">
        <v>-85869641.48</v>
      </c>
    </row>
    <row r="954" customFormat="false" ht="15.75" hidden="false" customHeight="true" outlineLevel="0" collapsed="false">
      <c r="A954" s="2" t="s">
        <v>91</v>
      </c>
      <c r="B954" s="2" t="s">
        <v>276</v>
      </c>
      <c r="C954" s="1" t="str">
        <f aca="false">A954&amp;B954</f>
        <v>3470201010</v>
      </c>
      <c r="D954" s="13" t="n">
        <v>0</v>
      </c>
    </row>
    <row r="955" customFormat="false" ht="15.75" hidden="false" customHeight="true" outlineLevel="0" collapsed="false">
      <c r="A955" s="2" t="s">
        <v>91</v>
      </c>
      <c r="B955" s="2" t="s">
        <v>408</v>
      </c>
      <c r="C955" s="1" t="str">
        <f aca="false">A955&amp;B955</f>
        <v>3470201011</v>
      </c>
      <c r="D955" s="13" t="n">
        <v>0.01</v>
      </c>
    </row>
    <row r="956" customFormat="false" ht="15.75" hidden="false" customHeight="true" outlineLevel="0" collapsed="false">
      <c r="A956" s="2" t="s">
        <v>91</v>
      </c>
      <c r="B956" s="2" t="s">
        <v>277</v>
      </c>
      <c r="C956" s="1" t="str">
        <f aca="false">A956&amp;B956</f>
        <v>3470201020</v>
      </c>
      <c r="D956" s="13" t="n">
        <v>-147265601.44</v>
      </c>
    </row>
    <row r="957" customFormat="false" ht="15.75" hidden="false" customHeight="true" outlineLevel="0" collapsed="false">
      <c r="A957" s="2" t="s">
        <v>91</v>
      </c>
      <c r="B957" s="2" t="s">
        <v>409</v>
      </c>
      <c r="C957" s="1" t="str">
        <f aca="false">A957&amp;B957</f>
        <v>3470201021</v>
      </c>
      <c r="D957" s="13" t="n">
        <v>-70795442.45</v>
      </c>
    </row>
    <row r="958" customFormat="false" ht="15.75" hidden="false" customHeight="true" outlineLevel="0" collapsed="false">
      <c r="A958" s="2" t="s">
        <v>91</v>
      </c>
      <c r="B958" s="2" t="s">
        <v>410</v>
      </c>
      <c r="C958" s="1" t="str">
        <f aca="false">A958&amp;B958</f>
        <v>3470201030</v>
      </c>
      <c r="D958" s="13" t="n">
        <v>-150714.2</v>
      </c>
    </row>
    <row r="959" customFormat="false" ht="15.75" hidden="false" customHeight="true" outlineLevel="0" collapsed="false">
      <c r="A959" s="2" t="s">
        <v>91</v>
      </c>
      <c r="B959" s="2" t="s">
        <v>411</v>
      </c>
      <c r="C959" s="1" t="str">
        <f aca="false">A959&amp;B959</f>
        <v>3470201040</v>
      </c>
      <c r="D959" s="13" t="n">
        <v>-159186457.83</v>
      </c>
    </row>
    <row r="960" customFormat="false" ht="15.75" hidden="false" customHeight="true" outlineLevel="0" collapsed="false">
      <c r="A960" s="2" t="s">
        <v>91</v>
      </c>
      <c r="B960" s="2" t="s">
        <v>412</v>
      </c>
      <c r="C960" s="1" t="str">
        <f aca="false">A960&amp;B960</f>
        <v>3470201041</v>
      </c>
      <c r="D960" s="13" t="n">
        <v>-3196727</v>
      </c>
    </row>
    <row r="961" customFormat="false" ht="15.75" hidden="false" customHeight="true" outlineLevel="0" collapsed="false">
      <c r="A961" s="2" t="s">
        <v>91</v>
      </c>
      <c r="B961" s="2" t="s">
        <v>279</v>
      </c>
      <c r="C961" s="1" t="str">
        <f aca="false">A961&amp;B961</f>
        <v>3470201202</v>
      </c>
      <c r="D961" s="13" t="n">
        <v>0</v>
      </c>
    </row>
    <row r="962" customFormat="false" ht="15.75" hidden="false" customHeight="true" outlineLevel="0" collapsed="false">
      <c r="A962" s="2" t="s">
        <v>91</v>
      </c>
      <c r="B962" s="2" t="s">
        <v>153</v>
      </c>
      <c r="C962" s="1" t="str">
        <f aca="false">A962&amp;B962</f>
        <v>3470201203</v>
      </c>
      <c r="D962" s="13" t="n">
        <v>0</v>
      </c>
    </row>
    <row r="963" customFormat="false" ht="15.75" hidden="false" customHeight="true" outlineLevel="0" collapsed="false">
      <c r="A963" s="2" t="s">
        <v>91</v>
      </c>
      <c r="B963" s="2" t="s">
        <v>154</v>
      </c>
      <c r="C963" s="1" t="str">
        <f aca="false">A963&amp;B963</f>
        <v>3470201300</v>
      </c>
      <c r="D963" s="13" t="n">
        <v>-964322.44</v>
      </c>
    </row>
    <row r="964" customFormat="false" ht="15.75" hidden="false" customHeight="true" outlineLevel="0" collapsed="false">
      <c r="A964" s="2" t="s">
        <v>91</v>
      </c>
      <c r="B964" s="2" t="s">
        <v>155</v>
      </c>
      <c r="C964" s="1" t="str">
        <f aca="false">A964&amp;B964</f>
        <v>3470201302</v>
      </c>
      <c r="D964" s="13" t="n">
        <v>-5756866.04</v>
      </c>
    </row>
    <row r="965" customFormat="false" ht="15.75" hidden="false" customHeight="true" outlineLevel="0" collapsed="false">
      <c r="A965" s="2" t="s">
        <v>91</v>
      </c>
      <c r="B965" s="2" t="s">
        <v>156</v>
      </c>
      <c r="C965" s="1" t="str">
        <f aca="false">A965&amp;B965</f>
        <v>3470201400</v>
      </c>
      <c r="D965" s="13" t="n">
        <v>-414650.27</v>
      </c>
    </row>
    <row r="966" customFormat="false" ht="15.75" hidden="false" customHeight="true" outlineLevel="0" collapsed="false">
      <c r="A966" s="2" t="s">
        <v>91</v>
      </c>
      <c r="B966" s="2" t="s">
        <v>253</v>
      </c>
      <c r="C966" s="1" t="str">
        <f aca="false">A966&amp;B966</f>
        <v>3470201500</v>
      </c>
      <c r="D966" s="13" t="n">
        <v>-44245</v>
      </c>
    </row>
    <row r="967" customFormat="false" ht="15.75" hidden="false" customHeight="true" outlineLevel="0" collapsed="false">
      <c r="A967" s="2" t="s">
        <v>91</v>
      </c>
      <c r="B967" s="2" t="s">
        <v>190</v>
      </c>
      <c r="C967" s="1" t="str">
        <f aca="false">A967&amp;B967</f>
        <v>3470203001</v>
      </c>
      <c r="D967" s="13" t="n">
        <v>-27241.39</v>
      </c>
    </row>
    <row r="968" customFormat="false" ht="15.75" hidden="false" customHeight="true" outlineLevel="0" collapsed="false">
      <c r="A968" s="2" t="s">
        <v>91</v>
      </c>
      <c r="B968" s="2" t="s">
        <v>413</v>
      </c>
      <c r="C968" s="1" t="str">
        <f aca="false">A968&amp;B968</f>
        <v>3470204000</v>
      </c>
      <c r="D968" s="13" t="n">
        <v>-1281.73</v>
      </c>
    </row>
    <row r="969" customFormat="false" ht="15.75" hidden="false" customHeight="true" outlineLevel="0" collapsed="false">
      <c r="A969" s="2" t="s">
        <v>91</v>
      </c>
      <c r="B969" s="2" t="s">
        <v>414</v>
      </c>
      <c r="C969" s="1" t="str">
        <f aca="false">A969&amp;B969</f>
        <v>3470204001</v>
      </c>
      <c r="D969" s="13" t="n">
        <v>8708383.76</v>
      </c>
    </row>
    <row r="970" customFormat="false" ht="15.75" hidden="false" customHeight="true" outlineLevel="0" collapsed="false">
      <c r="A970" s="2" t="s">
        <v>91</v>
      </c>
      <c r="B970" s="2" t="s">
        <v>157</v>
      </c>
      <c r="C970" s="1" t="str">
        <f aca="false">A970&amp;B970</f>
        <v>3470204020</v>
      </c>
      <c r="D970" s="13" t="n">
        <v>-13368567</v>
      </c>
    </row>
    <row r="971" customFormat="false" ht="15.75" hidden="false" customHeight="true" outlineLevel="0" collapsed="false">
      <c r="A971" s="2" t="s">
        <v>91</v>
      </c>
      <c r="B971" s="2" t="s">
        <v>158</v>
      </c>
      <c r="C971" s="1" t="str">
        <f aca="false">A971&amp;B971</f>
        <v>3470210000</v>
      </c>
      <c r="D971" s="13" t="n">
        <v>-2508309.37</v>
      </c>
    </row>
    <row r="972" customFormat="false" ht="15.75" hidden="false" customHeight="true" outlineLevel="0" collapsed="false">
      <c r="A972" s="2" t="s">
        <v>91</v>
      </c>
      <c r="B972" s="2" t="s">
        <v>159</v>
      </c>
      <c r="C972" s="1" t="str">
        <f aca="false">A972&amp;B972</f>
        <v>3470210002</v>
      </c>
      <c r="D972" s="13" t="n">
        <v>-2779046.13</v>
      </c>
    </row>
    <row r="973" customFormat="false" ht="15.75" hidden="false" customHeight="true" outlineLevel="0" collapsed="false">
      <c r="A973" s="2" t="s">
        <v>91</v>
      </c>
      <c r="B973" s="2" t="s">
        <v>415</v>
      </c>
      <c r="C973" s="1" t="str">
        <f aca="false">A973&amp;B973</f>
        <v>3470210100</v>
      </c>
      <c r="D973" s="13" t="n">
        <v>-154930.74</v>
      </c>
    </row>
    <row r="974" customFormat="false" ht="15.75" hidden="false" customHeight="true" outlineLevel="0" collapsed="false">
      <c r="A974" s="2" t="s">
        <v>91</v>
      </c>
      <c r="B974" s="2" t="s">
        <v>230</v>
      </c>
      <c r="C974" s="1" t="str">
        <f aca="false">A974&amp;B974</f>
        <v>3470210300</v>
      </c>
      <c r="D974" s="13" t="n">
        <v>-2733584.43</v>
      </c>
    </row>
    <row r="975" customFormat="false" ht="15.75" hidden="false" customHeight="true" outlineLevel="0" collapsed="false">
      <c r="A975" s="2" t="s">
        <v>91</v>
      </c>
      <c r="B975" s="2" t="s">
        <v>160</v>
      </c>
      <c r="C975" s="1" t="str">
        <f aca="false">A975&amp;B975</f>
        <v>3470220001</v>
      </c>
      <c r="D975" s="13" t="n">
        <v>-534723.89</v>
      </c>
    </row>
    <row r="976" customFormat="false" ht="15.75" hidden="false" customHeight="true" outlineLevel="0" collapsed="false">
      <c r="A976" s="2" t="s">
        <v>91</v>
      </c>
      <c r="B976" s="2" t="s">
        <v>416</v>
      </c>
      <c r="C976" s="1" t="str">
        <f aca="false">A976&amp;B976</f>
        <v>3470230100</v>
      </c>
      <c r="D976" s="13" t="n">
        <v>-207919454.77</v>
      </c>
    </row>
    <row r="977" customFormat="false" ht="15.75" hidden="false" customHeight="true" outlineLevel="0" collapsed="false">
      <c r="A977" s="2" t="s">
        <v>91</v>
      </c>
      <c r="B977" s="2" t="s">
        <v>417</v>
      </c>
      <c r="C977" s="1" t="str">
        <f aca="false">A977&amp;B977</f>
        <v>3470230101</v>
      </c>
      <c r="D977" s="13" t="n">
        <v>88284043.32</v>
      </c>
    </row>
    <row r="978" customFormat="false" ht="15.75" hidden="false" customHeight="true" outlineLevel="0" collapsed="false">
      <c r="A978" s="2" t="s">
        <v>91</v>
      </c>
      <c r="B978" s="2" t="s">
        <v>418</v>
      </c>
      <c r="C978" s="1" t="str">
        <f aca="false">A978&amp;B978</f>
        <v>3470230110</v>
      </c>
      <c r="D978" s="13" t="n">
        <v>-176793857.33</v>
      </c>
    </row>
    <row r="979" customFormat="false" ht="15.75" hidden="false" customHeight="true" outlineLevel="0" collapsed="false">
      <c r="A979" s="2" t="s">
        <v>91</v>
      </c>
      <c r="B979" s="2" t="s">
        <v>419</v>
      </c>
      <c r="C979" s="1" t="str">
        <f aca="false">A979&amp;B979</f>
        <v>3470230111</v>
      </c>
      <c r="D979" s="13" t="n">
        <v>16544833.27</v>
      </c>
    </row>
    <row r="980" customFormat="false" ht="15.75" hidden="false" customHeight="true" outlineLevel="0" collapsed="false">
      <c r="A980" s="2" t="s">
        <v>91</v>
      </c>
      <c r="B980" s="2" t="s">
        <v>420</v>
      </c>
      <c r="C980" s="1" t="str">
        <f aca="false">A980&amp;B980</f>
        <v>3470230300</v>
      </c>
      <c r="D980" s="13" t="n">
        <v>-6615258.16</v>
      </c>
    </row>
    <row r="981" customFormat="false" ht="15.75" hidden="false" customHeight="true" outlineLevel="0" collapsed="false">
      <c r="A981" s="2" t="s">
        <v>91</v>
      </c>
      <c r="B981" s="2" t="s">
        <v>318</v>
      </c>
      <c r="C981" s="1" t="str">
        <f aca="false">A981&amp;B981</f>
        <v>3470241000</v>
      </c>
      <c r="D981" s="13" t="n">
        <v>0</v>
      </c>
    </row>
    <row r="982" customFormat="false" ht="15.75" hidden="false" customHeight="true" outlineLevel="0" collapsed="false">
      <c r="A982" s="2" t="s">
        <v>91</v>
      </c>
      <c r="B982" s="2" t="s">
        <v>283</v>
      </c>
      <c r="C982" s="1" t="str">
        <f aca="false">A982&amp;B982</f>
        <v>3470241100</v>
      </c>
      <c r="D982" s="13" t="n">
        <v>-2177985.67</v>
      </c>
    </row>
    <row r="983" customFormat="false" ht="15.75" hidden="false" customHeight="true" outlineLevel="0" collapsed="false">
      <c r="A983" s="2" t="s">
        <v>91</v>
      </c>
      <c r="B983" s="2" t="s">
        <v>421</v>
      </c>
      <c r="C983" s="1" t="str">
        <f aca="false">A983&amp;B983</f>
        <v>3470241200</v>
      </c>
      <c r="D983" s="13" t="n">
        <v>0</v>
      </c>
    </row>
    <row r="984" customFormat="false" ht="15.75" hidden="false" customHeight="true" outlineLevel="0" collapsed="false">
      <c r="A984" s="2" t="s">
        <v>91</v>
      </c>
      <c r="B984" s="2" t="s">
        <v>123</v>
      </c>
      <c r="C984" s="1" t="str">
        <f aca="false">A984&amp;B984</f>
        <v>3470243000</v>
      </c>
      <c r="D984" s="13" t="n">
        <v>5613487584.05</v>
      </c>
    </row>
    <row r="985" customFormat="false" ht="15.75" hidden="false" customHeight="true" outlineLevel="0" collapsed="false">
      <c r="A985" s="2" t="s">
        <v>91</v>
      </c>
      <c r="B985" s="2" t="s">
        <v>193</v>
      </c>
      <c r="C985" s="1" t="str">
        <f aca="false">A985&amp;B985</f>
        <v>3470243001</v>
      </c>
      <c r="D985" s="13" t="n">
        <v>-216931.51</v>
      </c>
    </row>
    <row r="986" customFormat="false" ht="15.75" hidden="false" customHeight="true" outlineLevel="0" collapsed="false">
      <c r="A986" s="2" t="s">
        <v>91</v>
      </c>
      <c r="B986" s="2" t="s">
        <v>124</v>
      </c>
      <c r="C986" s="1" t="str">
        <f aca="false">A986&amp;B986</f>
        <v>3470243003</v>
      </c>
      <c r="D986" s="13" t="n">
        <v>-3933510817.09</v>
      </c>
    </row>
    <row r="987" customFormat="false" ht="15.75" hidden="false" customHeight="true" outlineLevel="0" collapsed="false">
      <c r="A987" s="2" t="s">
        <v>91</v>
      </c>
      <c r="B987" s="2" t="s">
        <v>194</v>
      </c>
      <c r="C987" s="1" t="str">
        <f aca="false">A987&amp;B987</f>
        <v>3470243004</v>
      </c>
      <c r="D987" s="13" t="n">
        <v>-21000000</v>
      </c>
    </row>
    <row r="988" customFormat="false" ht="15.75" hidden="false" customHeight="true" outlineLevel="0" collapsed="false">
      <c r="A988" s="2" t="s">
        <v>91</v>
      </c>
      <c r="B988" s="2" t="s">
        <v>125</v>
      </c>
      <c r="C988" s="1" t="str">
        <f aca="false">A988&amp;B988</f>
        <v>3470243005</v>
      </c>
      <c r="D988" s="13" t="n">
        <v>-420741695.24</v>
      </c>
    </row>
    <row r="989" customFormat="false" ht="15.75" hidden="false" customHeight="true" outlineLevel="0" collapsed="false">
      <c r="A989" s="2" t="s">
        <v>91</v>
      </c>
      <c r="B989" s="2" t="s">
        <v>161</v>
      </c>
      <c r="C989" s="1" t="str">
        <f aca="false">A989&amp;B989</f>
        <v>3470243006</v>
      </c>
      <c r="D989" s="13" t="n">
        <v>0</v>
      </c>
    </row>
    <row r="990" customFormat="false" ht="15.75" hidden="false" customHeight="true" outlineLevel="0" collapsed="false">
      <c r="A990" s="2" t="s">
        <v>91</v>
      </c>
      <c r="B990" s="2" t="s">
        <v>162</v>
      </c>
      <c r="C990" s="1" t="str">
        <f aca="false">A990&amp;B990</f>
        <v>3470250000</v>
      </c>
      <c r="D990" s="13" t="n">
        <v>-1250206.69</v>
      </c>
    </row>
    <row r="991" customFormat="false" ht="15.75" hidden="false" customHeight="true" outlineLevel="0" collapsed="false">
      <c r="A991" s="2" t="s">
        <v>91</v>
      </c>
      <c r="B991" s="2" t="s">
        <v>255</v>
      </c>
      <c r="C991" s="1" t="str">
        <f aca="false">A991&amp;B991</f>
        <v>3470250001</v>
      </c>
      <c r="D991" s="13" t="n">
        <v>-1949766.71</v>
      </c>
    </row>
    <row r="992" customFormat="false" ht="15.75" hidden="false" customHeight="true" outlineLevel="0" collapsed="false">
      <c r="A992" s="2" t="s">
        <v>91</v>
      </c>
      <c r="B992" s="2" t="s">
        <v>164</v>
      </c>
      <c r="C992" s="1" t="str">
        <f aca="false">A992&amp;B992</f>
        <v>3470260003</v>
      </c>
      <c r="D992" s="13" t="n">
        <v>-12637183.1</v>
      </c>
    </row>
    <row r="993" customFormat="false" ht="15.75" hidden="false" customHeight="true" outlineLevel="0" collapsed="false">
      <c r="A993" s="2" t="s">
        <v>91</v>
      </c>
      <c r="B993" s="2" t="s">
        <v>422</v>
      </c>
      <c r="C993" s="1" t="str">
        <f aca="false">A993&amp;B993</f>
        <v>3470270100</v>
      </c>
      <c r="D993" s="13" t="n">
        <v>-135548888.98</v>
      </c>
    </row>
    <row r="994" customFormat="false" ht="15.75" hidden="false" customHeight="true" outlineLevel="0" collapsed="false">
      <c r="A994" s="2" t="s">
        <v>91</v>
      </c>
      <c r="B994" s="2" t="s">
        <v>423</v>
      </c>
      <c r="C994" s="1" t="str">
        <f aca="false">A994&amp;B994</f>
        <v>3470270101</v>
      </c>
      <c r="D994" s="13" t="n">
        <v>72828544.3</v>
      </c>
    </row>
    <row r="995" customFormat="false" ht="15.75" hidden="false" customHeight="true" outlineLevel="0" collapsed="false">
      <c r="A995" s="2" t="s">
        <v>91</v>
      </c>
      <c r="B995" s="2" t="s">
        <v>424</v>
      </c>
      <c r="C995" s="1" t="str">
        <f aca="false">A995&amp;B995</f>
        <v>3470270110</v>
      </c>
      <c r="D995" s="13" t="n">
        <v>-8103814.8</v>
      </c>
    </row>
    <row r="996" customFormat="false" ht="15.75" hidden="false" customHeight="true" outlineLevel="0" collapsed="false">
      <c r="A996" s="2" t="s">
        <v>91</v>
      </c>
      <c r="B996" s="2" t="s">
        <v>425</v>
      </c>
      <c r="C996" s="1" t="str">
        <f aca="false">A996&amp;B996</f>
        <v>3470270111</v>
      </c>
      <c r="D996" s="13" t="n">
        <v>4713676.43</v>
      </c>
    </row>
    <row r="997" customFormat="false" ht="15.75" hidden="false" customHeight="true" outlineLevel="0" collapsed="false">
      <c r="A997" s="2" t="s">
        <v>91</v>
      </c>
      <c r="B997" s="2" t="s">
        <v>221</v>
      </c>
      <c r="C997" s="1" t="str">
        <f aca="false">A997&amp;B997</f>
        <v>3470270200</v>
      </c>
      <c r="D997" s="13" t="n">
        <v>0</v>
      </c>
    </row>
    <row r="998" customFormat="false" ht="15.75" hidden="false" customHeight="true" outlineLevel="0" collapsed="false">
      <c r="A998" s="2" t="s">
        <v>91</v>
      </c>
      <c r="B998" s="2" t="s">
        <v>165</v>
      </c>
      <c r="C998" s="1" t="str">
        <f aca="false">A998&amp;B998</f>
        <v>3470280000</v>
      </c>
      <c r="D998" s="13" t="n">
        <v>-110756322.9</v>
      </c>
    </row>
    <row r="999" customFormat="false" ht="15.75" hidden="false" customHeight="true" outlineLevel="0" collapsed="false">
      <c r="A999" s="2" t="s">
        <v>91</v>
      </c>
      <c r="B999" s="2" t="s">
        <v>126</v>
      </c>
      <c r="C999" s="1" t="str">
        <f aca="false">A999&amp;B999</f>
        <v>3470300002</v>
      </c>
      <c r="D999" s="13" t="n">
        <v>-3368686987.99</v>
      </c>
    </row>
    <row r="1000" customFormat="false" ht="15.75" hidden="false" customHeight="true" outlineLevel="0" collapsed="false">
      <c r="A1000" s="2" t="s">
        <v>91</v>
      </c>
      <c r="B1000" s="2" t="s">
        <v>426</v>
      </c>
      <c r="C1000" s="1" t="str">
        <f aca="false">A1000&amp;B1000</f>
        <v>3470310000</v>
      </c>
      <c r="D1000" s="13" t="n">
        <v>-184646145.36</v>
      </c>
    </row>
    <row r="1001" customFormat="false" ht="15.75" hidden="false" customHeight="true" outlineLevel="0" collapsed="false">
      <c r="A1001" s="2" t="s">
        <v>91</v>
      </c>
      <c r="B1001" s="2" t="s">
        <v>198</v>
      </c>
      <c r="C1001" s="1" t="str">
        <f aca="false">A1001&amp;B1001</f>
        <v>3470310002</v>
      </c>
      <c r="D1001" s="13" t="n">
        <v>7444813.33</v>
      </c>
    </row>
    <row r="1002" customFormat="false" ht="15.75" hidden="false" customHeight="true" outlineLevel="0" collapsed="false">
      <c r="A1002" s="2" t="s">
        <v>91</v>
      </c>
      <c r="B1002" s="2" t="s">
        <v>199</v>
      </c>
      <c r="C1002" s="1" t="str">
        <f aca="false">A1002&amp;B1002</f>
        <v>3470311003</v>
      </c>
      <c r="D1002" s="13" t="n">
        <v>-0.38</v>
      </c>
    </row>
    <row r="1003" customFormat="false" ht="15.75" hidden="false" customHeight="true" outlineLevel="0" collapsed="false">
      <c r="A1003" s="2" t="s">
        <v>91</v>
      </c>
      <c r="B1003" s="2" t="s">
        <v>127</v>
      </c>
      <c r="C1003" s="1" t="str">
        <f aca="false">A1003&amp;B1003</f>
        <v>3470320000</v>
      </c>
      <c r="D1003" s="13" t="n">
        <v>-1157717757.49</v>
      </c>
    </row>
    <row r="1004" customFormat="false" ht="15.75" hidden="false" customHeight="true" outlineLevel="0" collapsed="false">
      <c r="A1004" s="2" t="s">
        <v>91</v>
      </c>
      <c r="B1004" s="2" t="s">
        <v>285</v>
      </c>
      <c r="C1004" s="1" t="str">
        <f aca="false">A1004&amp;B1004</f>
        <v>3470501000</v>
      </c>
      <c r="D1004" s="13" t="n">
        <v>-2867760253.48</v>
      </c>
    </row>
    <row r="1005" customFormat="false" ht="15.75" hidden="false" customHeight="true" outlineLevel="0" collapsed="false">
      <c r="A1005" s="2" t="s">
        <v>91</v>
      </c>
      <c r="B1005" s="2" t="s">
        <v>427</v>
      </c>
      <c r="C1005" s="1" t="str">
        <f aca="false">A1005&amp;B1005</f>
        <v>3470501001</v>
      </c>
      <c r="D1005" s="13" t="n">
        <v>-686929525.7</v>
      </c>
    </row>
    <row r="1006" customFormat="false" ht="15.75" hidden="false" customHeight="true" outlineLevel="0" collapsed="false">
      <c r="A1006" s="2" t="s">
        <v>91</v>
      </c>
      <c r="B1006" s="2" t="s">
        <v>428</v>
      </c>
      <c r="C1006" s="1" t="str">
        <f aca="false">A1006&amp;B1006</f>
        <v>3470501002</v>
      </c>
      <c r="D1006" s="13" t="n">
        <v>-428013939.77</v>
      </c>
    </row>
    <row r="1007" customFormat="false" ht="15.75" hidden="false" customHeight="true" outlineLevel="0" collapsed="false">
      <c r="A1007" s="2" t="s">
        <v>91</v>
      </c>
      <c r="B1007" s="2" t="s">
        <v>429</v>
      </c>
      <c r="C1007" s="1" t="str">
        <f aca="false">A1007&amp;B1007</f>
        <v>3470501003</v>
      </c>
      <c r="D1007" s="13" t="n">
        <v>-143499851.36</v>
      </c>
    </row>
    <row r="1008" customFormat="false" ht="15.75" hidden="false" customHeight="true" outlineLevel="0" collapsed="false">
      <c r="A1008" s="2" t="s">
        <v>91</v>
      </c>
      <c r="B1008" s="2" t="s">
        <v>430</v>
      </c>
      <c r="C1008" s="1" t="str">
        <f aca="false">A1008&amp;B1008</f>
        <v>3470501004</v>
      </c>
      <c r="D1008" s="13" t="n">
        <v>681337.08</v>
      </c>
    </row>
    <row r="1009" customFormat="false" ht="15.75" hidden="false" customHeight="true" outlineLevel="0" collapsed="false">
      <c r="A1009" s="2" t="s">
        <v>91</v>
      </c>
      <c r="B1009" s="2" t="s">
        <v>431</v>
      </c>
      <c r="C1009" s="1" t="str">
        <f aca="false">A1009&amp;B1009</f>
        <v>3470501005</v>
      </c>
      <c r="D1009" s="13" t="n">
        <v>1273650.04</v>
      </c>
    </row>
    <row r="1010" customFormat="false" ht="15.75" hidden="false" customHeight="true" outlineLevel="0" collapsed="false">
      <c r="A1010" s="2" t="s">
        <v>91</v>
      </c>
      <c r="B1010" s="2" t="s">
        <v>432</v>
      </c>
      <c r="C1010" s="1" t="str">
        <f aca="false">A1010&amp;B1010</f>
        <v>3470501006</v>
      </c>
      <c r="D1010" s="13" t="n">
        <v>76908.96</v>
      </c>
    </row>
    <row r="1011" customFormat="false" ht="15.75" hidden="false" customHeight="true" outlineLevel="0" collapsed="false">
      <c r="A1011" s="2" t="s">
        <v>91</v>
      </c>
      <c r="B1011" s="2" t="s">
        <v>433</v>
      </c>
      <c r="C1011" s="1" t="str">
        <f aca="false">A1011&amp;B1011</f>
        <v>3470501007</v>
      </c>
      <c r="D1011" s="13" t="n">
        <v>295.49</v>
      </c>
    </row>
    <row r="1012" customFormat="false" ht="15.75" hidden="false" customHeight="true" outlineLevel="0" collapsed="false">
      <c r="A1012" s="2" t="s">
        <v>91</v>
      </c>
      <c r="B1012" s="2" t="s">
        <v>434</v>
      </c>
      <c r="C1012" s="1" t="str">
        <f aca="false">A1012&amp;B1012</f>
        <v>3470501008</v>
      </c>
      <c r="D1012" s="13" t="n">
        <v>189112561.61</v>
      </c>
    </row>
    <row r="1013" customFormat="false" ht="15.75" hidden="false" customHeight="true" outlineLevel="0" collapsed="false">
      <c r="A1013" s="2" t="s">
        <v>91</v>
      </c>
      <c r="B1013" s="2" t="s">
        <v>435</v>
      </c>
      <c r="C1013" s="1" t="str">
        <f aca="false">A1013&amp;B1013</f>
        <v>3470501009</v>
      </c>
      <c r="D1013" s="13" t="n">
        <v>55074583.44</v>
      </c>
    </row>
    <row r="1014" customFormat="false" ht="15.75" hidden="false" customHeight="true" outlineLevel="0" collapsed="false">
      <c r="A1014" s="2" t="s">
        <v>91</v>
      </c>
      <c r="B1014" s="2" t="s">
        <v>436</v>
      </c>
      <c r="C1014" s="1" t="str">
        <f aca="false">A1014&amp;B1014</f>
        <v>3470501010</v>
      </c>
      <c r="D1014" s="13" t="n">
        <v>201700989.6</v>
      </c>
    </row>
    <row r="1015" customFormat="false" ht="15.75" hidden="false" customHeight="true" outlineLevel="0" collapsed="false">
      <c r="A1015" s="2" t="s">
        <v>91</v>
      </c>
      <c r="B1015" s="2" t="s">
        <v>437</v>
      </c>
      <c r="C1015" s="1" t="str">
        <f aca="false">A1015&amp;B1015</f>
        <v>3470501011</v>
      </c>
      <c r="D1015" s="13" t="n">
        <v>45195675.12</v>
      </c>
    </row>
    <row r="1016" customFormat="false" ht="15.75" hidden="false" customHeight="true" outlineLevel="0" collapsed="false">
      <c r="A1016" s="2" t="s">
        <v>91</v>
      </c>
      <c r="B1016" s="2" t="s">
        <v>438</v>
      </c>
      <c r="C1016" s="1" t="str">
        <f aca="false">A1016&amp;B1016</f>
        <v>3470501012</v>
      </c>
      <c r="D1016" s="13" t="n">
        <v>10226.52</v>
      </c>
    </row>
    <row r="1017" customFormat="false" ht="15.75" hidden="false" customHeight="true" outlineLevel="0" collapsed="false">
      <c r="A1017" s="2" t="s">
        <v>91</v>
      </c>
      <c r="B1017" s="2" t="s">
        <v>439</v>
      </c>
      <c r="C1017" s="1" t="str">
        <f aca="false">A1017&amp;B1017</f>
        <v>3470501014</v>
      </c>
      <c r="D1017" s="13" t="n">
        <v>5401791.34</v>
      </c>
    </row>
    <row r="1018" customFormat="false" ht="15.75" hidden="false" customHeight="true" outlineLevel="0" collapsed="false">
      <c r="A1018" s="2" t="s">
        <v>91</v>
      </c>
      <c r="B1018" s="2" t="s">
        <v>440</v>
      </c>
      <c r="C1018" s="1" t="str">
        <f aca="false">A1018&amp;B1018</f>
        <v>3470501016</v>
      </c>
      <c r="D1018" s="13" t="n">
        <v>14193770.87</v>
      </c>
    </row>
    <row r="1019" customFormat="false" ht="15.75" hidden="false" customHeight="true" outlineLevel="0" collapsed="false">
      <c r="A1019" s="2" t="s">
        <v>91</v>
      </c>
      <c r="B1019" s="2" t="s">
        <v>441</v>
      </c>
      <c r="C1019" s="1" t="str">
        <f aca="false">A1019&amp;B1019</f>
        <v>3470501017</v>
      </c>
      <c r="D1019" s="13" t="n">
        <v>42153058.93</v>
      </c>
    </row>
    <row r="1020" customFormat="false" ht="15.75" hidden="false" customHeight="true" outlineLevel="0" collapsed="false">
      <c r="A1020" s="2" t="s">
        <v>91</v>
      </c>
      <c r="B1020" s="2" t="s">
        <v>442</v>
      </c>
      <c r="C1020" s="1" t="str">
        <f aca="false">A1020&amp;B1020</f>
        <v>3470501018</v>
      </c>
      <c r="D1020" s="13" t="n">
        <v>933449.8</v>
      </c>
    </row>
    <row r="1021" customFormat="false" ht="15.75" hidden="false" customHeight="true" outlineLevel="0" collapsed="false">
      <c r="A1021" s="2" t="s">
        <v>91</v>
      </c>
      <c r="B1021" s="2" t="s">
        <v>286</v>
      </c>
      <c r="C1021" s="1" t="str">
        <f aca="false">A1021&amp;B1021</f>
        <v>3470501050</v>
      </c>
      <c r="D1021" s="13" t="n">
        <v>-1875.09</v>
      </c>
    </row>
    <row r="1022" customFormat="false" ht="15.75" hidden="false" customHeight="true" outlineLevel="0" collapsed="false">
      <c r="A1022" s="2" t="s">
        <v>91</v>
      </c>
      <c r="B1022" s="2" t="s">
        <v>443</v>
      </c>
      <c r="C1022" s="1" t="str">
        <f aca="false">A1022&amp;B1022</f>
        <v>3470501100</v>
      </c>
      <c r="D1022" s="13" t="n">
        <v>-10321.83</v>
      </c>
    </row>
    <row r="1023" customFormat="false" ht="15.75" hidden="false" customHeight="true" outlineLevel="0" collapsed="false">
      <c r="A1023" s="2" t="s">
        <v>91</v>
      </c>
      <c r="B1023" s="2" t="s">
        <v>444</v>
      </c>
      <c r="C1023" s="1" t="str">
        <f aca="false">A1023&amp;B1023</f>
        <v>3470501101</v>
      </c>
      <c r="D1023" s="13" t="n">
        <v>-93642.7</v>
      </c>
    </row>
    <row r="1024" customFormat="false" ht="15.75" hidden="false" customHeight="true" outlineLevel="0" collapsed="false">
      <c r="A1024" s="2" t="s">
        <v>91</v>
      </c>
      <c r="B1024" s="2" t="s">
        <v>445</v>
      </c>
      <c r="C1024" s="1" t="str">
        <f aca="false">A1024&amp;B1024</f>
        <v>3470501102</v>
      </c>
      <c r="D1024" s="13" t="n">
        <v>-48988.61</v>
      </c>
    </row>
    <row r="1025" customFormat="false" ht="15.75" hidden="false" customHeight="true" outlineLevel="0" collapsed="false">
      <c r="A1025" s="2" t="s">
        <v>91</v>
      </c>
      <c r="B1025" s="2" t="s">
        <v>446</v>
      </c>
      <c r="C1025" s="1" t="str">
        <f aca="false">A1025&amp;B1025</f>
        <v>3470501103</v>
      </c>
      <c r="D1025" s="13" t="n">
        <v>-632122.19</v>
      </c>
    </row>
    <row r="1026" customFormat="false" ht="15.75" hidden="false" customHeight="true" outlineLevel="0" collapsed="false">
      <c r="A1026" s="2" t="s">
        <v>91</v>
      </c>
      <c r="B1026" s="2" t="s">
        <v>447</v>
      </c>
      <c r="C1026" s="1" t="str">
        <f aca="false">A1026&amp;B1026</f>
        <v>3470501104</v>
      </c>
      <c r="D1026" s="13" t="n">
        <v>-256033.31</v>
      </c>
    </row>
    <row r="1027" customFormat="false" ht="15.75" hidden="false" customHeight="true" outlineLevel="0" collapsed="false">
      <c r="A1027" s="2" t="s">
        <v>91</v>
      </c>
      <c r="B1027" s="2" t="s">
        <v>448</v>
      </c>
      <c r="C1027" s="1" t="str">
        <f aca="false">A1027&amp;B1027</f>
        <v>3470501105</v>
      </c>
      <c r="D1027" s="13" t="n">
        <v>-1854812.52</v>
      </c>
    </row>
    <row r="1028" customFormat="false" ht="15.75" hidden="false" customHeight="true" outlineLevel="0" collapsed="false">
      <c r="A1028" s="2" t="s">
        <v>91</v>
      </c>
      <c r="B1028" s="2" t="s">
        <v>449</v>
      </c>
      <c r="C1028" s="1" t="str">
        <f aca="false">A1028&amp;B1028</f>
        <v>3470501106</v>
      </c>
      <c r="D1028" s="13" t="n">
        <v>-1345407.08</v>
      </c>
    </row>
    <row r="1029" customFormat="false" ht="15.75" hidden="false" customHeight="true" outlineLevel="0" collapsed="false">
      <c r="A1029" s="2" t="s">
        <v>91</v>
      </c>
      <c r="B1029" s="2" t="s">
        <v>166</v>
      </c>
      <c r="C1029" s="1" t="str">
        <f aca="false">A1029&amp;B1029</f>
        <v>3470501200</v>
      </c>
      <c r="D1029" s="13" t="n">
        <v>-2825670.68</v>
      </c>
    </row>
    <row r="1030" customFormat="false" ht="15.75" hidden="false" customHeight="true" outlineLevel="0" collapsed="false">
      <c r="A1030" s="2" t="s">
        <v>91</v>
      </c>
      <c r="B1030" s="2" t="s">
        <v>450</v>
      </c>
      <c r="C1030" s="1" t="str">
        <f aca="false">A1030&amp;B1030</f>
        <v>3470501201</v>
      </c>
      <c r="D1030" s="13" t="n">
        <v>-873750</v>
      </c>
    </row>
    <row r="1031" customFormat="false" ht="15.75" hidden="false" customHeight="true" outlineLevel="0" collapsed="false">
      <c r="A1031" s="2" t="s">
        <v>91</v>
      </c>
      <c r="B1031" s="2" t="s">
        <v>167</v>
      </c>
      <c r="C1031" s="1" t="str">
        <f aca="false">A1031&amp;B1031</f>
        <v>3470501202</v>
      </c>
      <c r="D1031" s="13" t="n">
        <v>-2463853.45</v>
      </c>
    </row>
    <row r="1032" customFormat="false" ht="15.75" hidden="false" customHeight="true" outlineLevel="0" collapsed="false">
      <c r="A1032" s="2" t="s">
        <v>91</v>
      </c>
      <c r="B1032" s="2" t="s">
        <v>451</v>
      </c>
      <c r="C1032" s="1" t="str">
        <f aca="false">A1032&amp;B1032</f>
        <v>3470501204</v>
      </c>
      <c r="D1032" s="13" t="n">
        <v>-101570684.49</v>
      </c>
    </row>
    <row r="1033" customFormat="false" ht="15.75" hidden="false" customHeight="true" outlineLevel="0" collapsed="false">
      <c r="A1033" s="2" t="s">
        <v>91</v>
      </c>
      <c r="B1033" s="2" t="s">
        <v>452</v>
      </c>
      <c r="C1033" s="1" t="str">
        <f aca="false">A1033&amp;B1033</f>
        <v>3470501207</v>
      </c>
      <c r="D1033" s="13" t="n">
        <v>-5328111.39</v>
      </c>
    </row>
    <row r="1034" customFormat="false" ht="15.75" hidden="false" customHeight="true" outlineLevel="0" collapsed="false">
      <c r="A1034" s="2" t="s">
        <v>91</v>
      </c>
      <c r="B1034" s="2" t="s">
        <v>453</v>
      </c>
      <c r="C1034" s="1" t="str">
        <f aca="false">A1034&amp;B1034</f>
        <v>3470501209</v>
      </c>
      <c r="D1034" s="13" t="n">
        <v>-734500</v>
      </c>
    </row>
    <row r="1035" customFormat="false" ht="15.75" hidden="false" customHeight="true" outlineLevel="0" collapsed="false">
      <c r="A1035" s="2" t="s">
        <v>91</v>
      </c>
      <c r="B1035" s="2" t="s">
        <v>454</v>
      </c>
      <c r="C1035" s="1" t="str">
        <f aca="false">A1035&amp;B1035</f>
        <v>3470501900</v>
      </c>
      <c r="D1035" s="13" t="n">
        <v>-1939903.27</v>
      </c>
    </row>
    <row r="1036" customFormat="false" ht="15.75" hidden="false" customHeight="true" outlineLevel="0" collapsed="false">
      <c r="A1036" s="2" t="s">
        <v>91</v>
      </c>
      <c r="B1036" s="2" t="s">
        <v>455</v>
      </c>
      <c r="C1036" s="1" t="str">
        <f aca="false">A1036&amp;B1036</f>
        <v>3470502000</v>
      </c>
      <c r="D1036" s="13" t="n">
        <v>-10600217.71</v>
      </c>
    </row>
    <row r="1037" customFormat="false" ht="15.75" hidden="false" customHeight="true" outlineLevel="0" collapsed="false">
      <c r="A1037" s="2" t="s">
        <v>91</v>
      </c>
      <c r="B1037" s="2" t="s">
        <v>456</v>
      </c>
      <c r="C1037" s="1" t="str">
        <f aca="false">A1037&amp;B1037</f>
        <v>3470502001</v>
      </c>
      <c r="D1037" s="13" t="n">
        <v>-3014219.53</v>
      </c>
    </row>
    <row r="1038" customFormat="false" ht="15.75" hidden="false" customHeight="true" outlineLevel="0" collapsed="false">
      <c r="A1038" s="2" t="s">
        <v>91</v>
      </c>
      <c r="B1038" s="2" t="s">
        <v>457</v>
      </c>
      <c r="C1038" s="1" t="str">
        <f aca="false">A1038&amp;B1038</f>
        <v>3470502002</v>
      </c>
      <c r="D1038" s="13" t="n">
        <v>2708106.13</v>
      </c>
    </row>
    <row r="1039" customFormat="false" ht="15.75" hidden="false" customHeight="true" outlineLevel="0" collapsed="false">
      <c r="A1039" s="2" t="s">
        <v>91</v>
      </c>
      <c r="B1039" s="2" t="s">
        <v>458</v>
      </c>
      <c r="C1039" s="1" t="str">
        <f aca="false">A1039&amp;B1039</f>
        <v>3470502003</v>
      </c>
      <c r="D1039" s="13" t="n">
        <v>18440</v>
      </c>
    </row>
    <row r="1040" customFormat="false" ht="15.75" hidden="false" customHeight="true" outlineLevel="0" collapsed="false">
      <c r="A1040" s="2" t="s">
        <v>91</v>
      </c>
      <c r="B1040" s="2" t="s">
        <v>459</v>
      </c>
      <c r="C1040" s="1" t="str">
        <f aca="false">A1040&amp;B1040</f>
        <v>3470502004</v>
      </c>
      <c r="D1040" s="13" t="n">
        <v>-1125457.42</v>
      </c>
    </row>
    <row r="1041" customFormat="false" ht="15.75" hidden="false" customHeight="true" outlineLevel="0" collapsed="false">
      <c r="A1041" s="2" t="s">
        <v>91</v>
      </c>
      <c r="B1041" s="2" t="s">
        <v>460</v>
      </c>
      <c r="C1041" s="1" t="str">
        <f aca="false">A1041&amp;B1041</f>
        <v>3470502005</v>
      </c>
      <c r="D1041" s="13" t="n">
        <v>-299300.24</v>
      </c>
    </row>
    <row r="1042" customFormat="false" ht="15.75" hidden="false" customHeight="true" outlineLevel="0" collapsed="false">
      <c r="A1042" s="2" t="s">
        <v>91</v>
      </c>
      <c r="B1042" s="2" t="s">
        <v>256</v>
      </c>
      <c r="C1042" s="1" t="str">
        <f aca="false">A1042&amp;B1042</f>
        <v>3470502900</v>
      </c>
      <c r="D1042" s="13" t="n">
        <v>-99</v>
      </c>
    </row>
    <row r="1043" customFormat="false" ht="15.75" hidden="false" customHeight="true" outlineLevel="0" collapsed="false">
      <c r="A1043" s="2" t="s">
        <v>91</v>
      </c>
      <c r="B1043" s="2" t="s">
        <v>223</v>
      </c>
      <c r="C1043" s="1" t="str">
        <f aca="false">A1043&amp;B1043</f>
        <v>3470511000</v>
      </c>
      <c r="D1043" s="13" t="n">
        <v>-69737.02</v>
      </c>
    </row>
    <row r="1044" customFormat="false" ht="15.75" hidden="false" customHeight="true" outlineLevel="0" collapsed="false">
      <c r="A1044" s="2" t="s">
        <v>91</v>
      </c>
      <c r="B1044" s="2" t="s">
        <v>461</v>
      </c>
      <c r="C1044" s="1" t="str">
        <f aca="false">A1044&amp;B1044</f>
        <v>3470511001</v>
      </c>
      <c r="D1044" s="13" t="n">
        <v>-18045.32</v>
      </c>
    </row>
    <row r="1045" customFormat="false" ht="15.75" hidden="false" customHeight="true" outlineLevel="0" collapsed="false">
      <c r="A1045" s="2" t="s">
        <v>91</v>
      </c>
      <c r="B1045" s="2" t="s">
        <v>168</v>
      </c>
      <c r="C1045" s="1" t="str">
        <f aca="false">A1045&amp;B1045</f>
        <v>3470514001</v>
      </c>
      <c r="D1045" s="13" t="n">
        <v>-1515557.53</v>
      </c>
    </row>
    <row r="1046" customFormat="false" ht="15.75" hidden="false" customHeight="true" outlineLevel="0" collapsed="false">
      <c r="A1046" s="2" t="s">
        <v>91</v>
      </c>
      <c r="B1046" s="2" t="s">
        <v>462</v>
      </c>
      <c r="C1046" s="1" t="str">
        <f aca="false">A1046&amp;B1046</f>
        <v>3470601000</v>
      </c>
      <c r="D1046" s="13" t="n">
        <v>722505988.13</v>
      </c>
    </row>
    <row r="1047" customFormat="false" ht="15.75" hidden="false" customHeight="true" outlineLevel="0" collapsed="false">
      <c r="A1047" s="2" t="s">
        <v>91</v>
      </c>
      <c r="B1047" s="2" t="s">
        <v>463</v>
      </c>
      <c r="C1047" s="1" t="str">
        <f aca="false">A1047&amp;B1047</f>
        <v>3470601001</v>
      </c>
      <c r="D1047" s="13" t="n">
        <v>152403579.5</v>
      </c>
    </row>
    <row r="1048" customFormat="false" ht="15.75" hidden="false" customHeight="true" outlineLevel="0" collapsed="false">
      <c r="A1048" s="2" t="s">
        <v>91</v>
      </c>
      <c r="B1048" s="2" t="s">
        <v>464</v>
      </c>
      <c r="C1048" s="1" t="str">
        <f aca="false">A1048&amp;B1048</f>
        <v>3470601002</v>
      </c>
      <c r="D1048" s="13" t="n">
        <v>366426820.17</v>
      </c>
    </row>
    <row r="1049" customFormat="false" ht="15.75" hidden="false" customHeight="true" outlineLevel="0" collapsed="false">
      <c r="A1049" s="2" t="s">
        <v>91</v>
      </c>
      <c r="B1049" s="2" t="s">
        <v>465</v>
      </c>
      <c r="C1049" s="1" t="str">
        <f aca="false">A1049&amp;B1049</f>
        <v>3470601003</v>
      </c>
      <c r="D1049" s="13" t="n">
        <v>50990631.91</v>
      </c>
    </row>
    <row r="1050" customFormat="false" ht="15.75" hidden="false" customHeight="true" outlineLevel="0" collapsed="false">
      <c r="A1050" s="2" t="s">
        <v>91</v>
      </c>
      <c r="B1050" s="2" t="s">
        <v>466</v>
      </c>
      <c r="C1050" s="1" t="str">
        <f aca="false">A1050&amp;B1050</f>
        <v>3470601004</v>
      </c>
      <c r="D1050" s="13" t="n">
        <v>-14193450.68</v>
      </c>
    </row>
    <row r="1051" customFormat="false" ht="15.75" hidden="false" customHeight="true" outlineLevel="0" collapsed="false">
      <c r="A1051" s="2" t="s">
        <v>91</v>
      </c>
      <c r="B1051" s="2" t="s">
        <v>467</v>
      </c>
      <c r="C1051" s="1" t="str">
        <f aca="false">A1051&amp;B1051</f>
        <v>3470601005</v>
      </c>
      <c r="D1051" s="13" t="n">
        <v>61207779.19</v>
      </c>
    </row>
    <row r="1052" customFormat="false" ht="15.75" hidden="false" customHeight="true" outlineLevel="0" collapsed="false">
      <c r="A1052" s="2" t="s">
        <v>91</v>
      </c>
      <c r="B1052" s="2" t="s">
        <v>468</v>
      </c>
      <c r="C1052" s="1" t="str">
        <f aca="false">A1052&amp;B1052</f>
        <v>3470601007</v>
      </c>
      <c r="D1052" s="13" t="n">
        <v>13881477.29</v>
      </c>
    </row>
    <row r="1053" customFormat="false" ht="15.75" hidden="false" customHeight="true" outlineLevel="0" collapsed="false">
      <c r="A1053" s="2" t="s">
        <v>91</v>
      </c>
      <c r="B1053" s="2" t="s">
        <v>469</v>
      </c>
      <c r="C1053" s="1" t="str">
        <f aca="false">A1053&amp;B1053</f>
        <v>3470601008</v>
      </c>
      <c r="D1053" s="13" t="n">
        <v>6268474.34</v>
      </c>
    </row>
    <row r="1054" customFormat="false" ht="15.75" hidden="false" customHeight="true" outlineLevel="0" collapsed="false">
      <c r="A1054" s="2" t="s">
        <v>91</v>
      </c>
      <c r="B1054" s="2" t="s">
        <v>86</v>
      </c>
      <c r="C1054" s="1" t="str">
        <f aca="false">A1054&amp;B1054</f>
        <v>3470601050</v>
      </c>
      <c r="D1054" s="13" t="n">
        <v>6994.13</v>
      </c>
    </row>
    <row r="1055" customFormat="false" ht="15.75" hidden="false" customHeight="true" outlineLevel="0" collapsed="false">
      <c r="A1055" s="2" t="s">
        <v>91</v>
      </c>
      <c r="B1055" s="2" t="s">
        <v>289</v>
      </c>
      <c r="C1055" s="1" t="str">
        <f aca="false">A1055&amp;B1055</f>
        <v>3470601100</v>
      </c>
      <c r="D1055" s="13" t="n">
        <v>1390312518.11</v>
      </c>
    </row>
    <row r="1056" customFormat="false" ht="15.75" hidden="false" customHeight="true" outlineLevel="0" collapsed="false">
      <c r="A1056" s="2" t="s">
        <v>91</v>
      </c>
      <c r="B1056" s="2" t="s">
        <v>470</v>
      </c>
      <c r="C1056" s="1" t="str">
        <f aca="false">A1056&amp;B1056</f>
        <v>3470601101</v>
      </c>
      <c r="D1056" s="13" t="n">
        <v>62609735.57</v>
      </c>
    </row>
    <row r="1057" customFormat="false" ht="15.75" hidden="false" customHeight="true" outlineLevel="0" collapsed="false">
      <c r="A1057" s="2" t="s">
        <v>91</v>
      </c>
      <c r="B1057" s="2" t="s">
        <v>471</v>
      </c>
      <c r="C1057" s="1" t="str">
        <f aca="false">A1057&amp;B1057</f>
        <v>3470601102</v>
      </c>
      <c r="D1057" s="13" t="n">
        <v>-1558289.6</v>
      </c>
    </row>
    <row r="1058" customFormat="false" ht="15.75" hidden="false" customHeight="true" outlineLevel="0" collapsed="false">
      <c r="A1058" s="2" t="s">
        <v>91</v>
      </c>
      <c r="B1058" s="2" t="s">
        <v>472</v>
      </c>
      <c r="C1058" s="1" t="str">
        <f aca="false">A1058&amp;B1058</f>
        <v>3470601103</v>
      </c>
      <c r="D1058" s="13" t="n">
        <v>188384947.82</v>
      </c>
    </row>
    <row r="1059" customFormat="false" ht="15.75" hidden="false" customHeight="true" outlineLevel="0" collapsed="false">
      <c r="A1059" s="2" t="s">
        <v>91</v>
      </c>
      <c r="B1059" s="2" t="s">
        <v>473</v>
      </c>
      <c r="C1059" s="1" t="str">
        <f aca="false">A1059&amp;B1059</f>
        <v>3470601104</v>
      </c>
      <c r="D1059" s="13" t="n">
        <v>391296</v>
      </c>
    </row>
    <row r="1060" customFormat="false" ht="15.75" hidden="false" customHeight="true" outlineLevel="0" collapsed="false">
      <c r="A1060" s="2" t="s">
        <v>91</v>
      </c>
      <c r="B1060" s="2" t="s">
        <v>290</v>
      </c>
      <c r="C1060" s="1" t="str">
        <f aca="false">A1060&amp;B1060</f>
        <v>3470601105</v>
      </c>
      <c r="D1060" s="13" t="n">
        <v>5634553.32</v>
      </c>
    </row>
    <row r="1061" customFormat="false" ht="15.75" hidden="false" customHeight="true" outlineLevel="0" collapsed="false">
      <c r="A1061" s="2" t="s">
        <v>91</v>
      </c>
      <c r="B1061" s="2" t="s">
        <v>474</v>
      </c>
      <c r="C1061" s="1" t="str">
        <f aca="false">A1061&amp;B1061</f>
        <v>3470601106</v>
      </c>
      <c r="D1061" s="13" t="n">
        <v>537229.5</v>
      </c>
    </row>
    <row r="1062" customFormat="false" ht="15.75" hidden="false" customHeight="true" outlineLevel="0" collapsed="false">
      <c r="A1062" s="2" t="s">
        <v>91</v>
      </c>
      <c r="B1062" s="2" t="s">
        <v>169</v>
      </c>
      <c r="C1062" s="1" t="str">
        <f aca="false">A1062&amp;B1062</f>
        <v>3470601107</v>
      </c>
      <c r="D1062" s="13" t="n">
        <v>6030233.74</v>
      </c>
    </row>
    <row r="1063" customFormat="false" ht="15.75" hidden="false" customHeight="true" outlineLevel="0" collapsed="false">
      <c r="A1063" s="2" t="s">
        <v>91</v>
      </c>
      <c r="B1063" s="2" t="s">
        <v>475</v>
      </c>
      <c r="C1063" s="1" t="str">
        <f aca="false">A1063&amp;B1063</f>
        <v>3470601108</v>
      </c>
      <c r="D1063" s="13" t="n">
        <v>5058064.03</v>
      </c>
    </row>
    <row r="1064" customFormat="false" ht="15.75" hidden="false" customHeight="true" outlineLevel="0" collapsed="false">
      <c r="A1064" s="2" t="s">
        <v>91</v>
      </c>
      <c r="B1064" s="2" t="s">
        <v>170</v>
      </c>
      <c r="C1064" s="1" t="str">
        <f aca="false">A1064&amp;B1064</f>
        <v>3470601111</v>
      </c>
      <c r="D1064" s="13" t="n">
        <v>1872783.34</v>
      </c>
    </row>
    <row r="1065" customFormat="false" ht="15.75" hidden="false" customHeight="true" outlineLevel="0" collapsed="false">
      <c r="A1065" s="2" t="s">
        <v>91</v>
      </c>
      <c r="B1065" s="2" t="s">
        <v>171</v>
      </c>
      <c r="C1065" s="1" t="str">
        <f aca="false">A1065&amp;B1065</f>
        <v>3470601113</v>
      </c>
      <c r="D1065" s="13" t="n">
        <v>9653444.2</v>
      </c>
    </row>
    <row r="1066" customFormat="false" ht="15.75" hidden="false" customHeight="true" outlineLevel="0" collapsed="false">
      <c r="A1066" s="2" t="s">
        <v>91</v>
      </c>
      <c r="B1066" s="2" t="s">
        <v>172</v>
      </c>
      <c r="C1066" s="1" t="str">
        <f aca="false">A1066&amp;B1066</f>
        <v>3470601114</v>
      </c>
      <c r="D1066" s="13" t="n">
        <v>27256807.69</v>
      </c>
    </row>
    <row r="1067" customFormat="false" ht="15.75" hidden="false" customHeight="true" outlineLevel="0" collapsed="false">
      <c r="A1067" s="2" t="s">
        <v>91</v>
      </c>
      <c r="B1067" s="2" t="s">
        <v>476</v>
      </c>
      <c r="C1067" s="1" t="str">
        <f aca="false">A1067&amp;B1067</f>
        <v>3470601115</v>
      </c>
      <c r="D1067" s="13" t="n">
        <v>3262928.58</v>
      </c>
    </row>
    <row r="1068" customFormat="false" ht="15.75" hidden="false" customHeight="true" outlineLevel="0" collapsed="false">
      <c r="A1068" s="2" t="s">
        <v>91</v>
      </c>
      <c r="B1068" s="2" t="s">
        <v>477</v>
      </c>
      <c r="C1068" s="1" t="str">
        <f aca="false">A1068&amp;B1068</f>
        <v>3470601116</v>
      </c>
      <c r="D1068" s="13" t="n">
        <v>54548695.8</v>
      </c>
    </row>
    <row r="1069" customFormat="false" ht="15.75" hidden="false" customHeight="true" outlineLevel="0" collapsed="false">
      <c r="A1069" s="2" t="s">
        <v>91</v>
      </c>
      <c r="B1069" s="2" t="s">
        <v>478</v>
      </c>
      <c r="C1069" s="1" t="str">
        <f aca="false">A1069&amp;B1069</f>
        <v>3470601117</v>
      </c>
      <c r="D1069" s="13" t="n">
        <v>-44669392.24</v>
      </c>
    </row>
    <row r="1070" customFormat="false" ht="15.75" hidden="false" customHeight="true" outlineLevel="0" collapsed="false">
      <c r="A1070" s="2" t="s">
        <v>91</v>
      </c>
      <c r="B1070" s="2" t="s">
        <v>479</v>
      </c>
      <c r="C1070" s="1" t="str">
        <f aca="false">A1070&amp;B1070</f>
        <v>3470601118</v>
      </c>
      <c r="D1070" s="13" t="n">
        <v>3484.52</v>
      </c>
    </row>
    <row r="1071" customFormat="false" ht="15.75" hidden="false" customHeight="true" outlineLevel="0" collapsed="false">
      <c r="A1071" s="2" t="s">
        <v>91</v>
      </c>
      <c r="B1071" s="2" t="s">
        <v>480</v>
      </c>
      <c r="C1071" s="1" t="str">
        <f aca="false">A1071&amp;B1071</f>
        <v>3470601119</v>
      </c>
      <c r="D1071" s="13" t="n">
        <v>40346620.16</v>
      </c>
    </row>
    <row r="1072" customFormat="false" ht="15.75" hidden="false" customHeight="true" outlineLevel="0" collapsed="false">
      <c r="A1072" s="2" t="s">
        <v>91</v>
      </c>
      <c r="B1072" s="2" t="s">
        <v>481</v>
      </c>
      <c r="C1072" s="1" t="str">
        <f aca="false">A1072&amp;B1072</f>
        <v>3470601200</v>
      </c>
      <c r="D1072" s="13" t="n">
        <v>241229379.18</v>
      </c>
    </row>
    <row r="1073" customFormat="false" ht="15.75" hidden="false" customHeight="true" outlineLevel="0" collapsed="false">
      <c r="A1073" s="2" t="s">
        <v>91</v>
      </c>
      <c r="B1073" s="2" t="s">
        <v>482</v>
      </c>
      <c r="C1073" s="1" t="str">
        <f aca="false">A1073&amp;B1073</f>
        <v>3470601201</v>
      </c>
      <c r="D1073" s="13" t="n">
        <v>3186044.45</v>
      </c>
    </row>
    <row r="1074" customFormat="false" ht="15.75" hidden="false" customHeight="true" outlineLevel="0" collapsed="false">
      <c r="A1074" s="2" t="s">
        <v>91</v>
      </c>
      <c r="B1074" s="2" t="s">
        <v>483</v>
      </c>
      <c r="C1074" s="1" t="str">
        <f aca="false">A1074&amp;B1074</f>
        <v>3470601202</v>
      </c>
      <c r="D1074" s="13" t="n">
        <v>96108521.39</v>
      </c>
    </row>
    <row r="1075" customFormat="false" ht="15.75" hidden="false" customHeight="true" outlineLevel="0" collapsed="false">
      <c r="A1075" s="2" t="s">
        <v>91</v>
      </c>
      <c r="B1075" s="2" t="s">
        <v>484</v>
      </c>
      <c r="C1075" s="1" t="str">
        <f aca="false">A1075&amp;B1075</f>
        <v>3470601210</v>
      </c>
      <c r="D1075" s="13" t="n">
        <v>-7164687.9</v>
      </c>
    </row>
    <row r="1076" customFormat="false" ht="15.75" hidden="false" customHeight="true" outlineLevel="0" collapsed="false">
      <c r="A1076" s="2" t="s">
        <v>91</v>
      </c>
      <c r="B1076" s="2" t="s">
        <v>485</v>
      </c>
      <c r="C1076" s="1" t="str">
        <f aca="false">A1076&amp;B1076</f>
        <v>3470601220</v>
      </c>
      <c r="D1076" s="13" t="n">
        <v>2312500.01</v>
      </c>
    </row>
    <row r="1077" customFormat="false" ht="15.75" hidden="false" customHeight="true" outlineLevel="0" collapsed="false">
      <c r="A1077" s="2" t="s">
        <v>91</v>
      </c>
      <c r="B1077" s="2" t="s">
        <v>486</v>
      </c>
      <c r="C1077" s="1" t="str">
        <f aca="false">A1077&amp;B1077</f>
        <v>3470601230</v>
      </c>
      <c r="D1077" s="13" t="n">
        <v>67386024.3</v>
      </c>
    </row>
    <row r="1078" customFormat="false" ht="15.75" hidden="false" customHeight="true" outlineLevel="0" collapsed="false">
      <c r="A1078" s="2" t="s">
        <v>91</v>
      </c>
      <c r="B1078" s="2" t="s">
        <v>487</v>
      </c>
      <c r="C1078" s="1" t="str">
        <f aca="false">A1078&amp;B1078</f>
        <v>3470601240</v>
      </c>
      <c r="D1078" s="13" t="n">
        <v>35479768.81</v>
      </c>
    </row>
    <row r="1079" customFormat="false" ht="15.75" hidden="false" customHeight="true" outlineLevel="0" collapsed="false">
      <c r="A1079" s="2" t="s">
        <v>91</v>
      </c>
      <c r="B1079" s="2" t="s">
        <v>488</v>
      </c>
      <c r="C1079" s="1" t="str">
        <f aca="false">A1079&amp;B1079</f>
        <v>3470601241</v>
      </c>
      <c r="D1079" s="13" t="n">
        <v>-57770473.28</v>
      </c>
    </row>
    <row r="1080" customFormat="false" ht="15.75" hidden="false" customHeight="true" outlineLevel="0" collapsed="false">
      <c r="A1080" s="2" t="s">
        <v>91</v>
      </c>
      <c r="B1080" s="2" t="s">
        <v>489</v>
      </c>
      <c r="C1080" s="1" t="str">
        <f aca="false">A1080&amp;B1080</f>
        <v>3470601250</v>
      </c>
      <c r="D1080" s="13" t="n">
        <v>3606731.91</v>
      </c>
    </row>
    <row r="1081" customFormat="false" ht="15.75" hidden="false" customHeight="true" outlineLevel="0" collapsed="false">
      <c r="A1081" s="2" t="s">
        <v>91</v>
      </c>
      <c r="B1081" s="2" t="s">
        <v>8</v>
      </c>
      <c r="C1081" s="1" t="str">
        <f aca="false">A1081&amp;B1081</f>
        <v>3470602000</v>
      </c>
      <c r="D1081" s="13" t="n">
        <v>26030553.6</v>
      </c>
    </row>
    <row r="1082" customFormat="false" ht="15.75" hidden="false" customHeight="true" outlineLevel="0" collapsed="false">
      <c r="A1082" s="2" t="s">
        <v>91</v>
      </c>
      <c r="B1082" s="2" t="s">
        <v>70</v>
      </c>
      <c r="C1082" s="1" t="str">
        <f aca="false">A1082&amp;B1082</f>
        <v>3470602001</v>
      </c>
      <c r="D1082" s="13" t="n">
        <v>185842.08</v>
      </c>
    </row>
    <row r="1083" customFormat="false" ht="15.75" hidden="false" customHeight="true" outlineLevel="0" collapsed="false">
      <c r="A1083" s="2" t="s">
        <v>91</v>
      </c>
      <c r="B1083" s="2" t="s">
        <v>41</v>
      </c>
      <c r="C1083" s="1" t="str">
        <f aca="false">A1083&amp;B1083</f>
        <v>3470602002</v>
      </c>
      <c r="D1083" s="13" t="n">
        <v>1040</v>
      </c>
    </row>
    <row r="1084" customFormat="false" ht="15.75" hidden="false" customHeight="true" outlineLevel="0" collapsed="false">
      <c r="A1084" s="2" t="s">
        <v>91</v>
      </c>
      <c r="B1084" s="2" t="s">
        <v>9</v>
      </c>
      <c r="C1084" s="1" t="str">
        <f aca="false">A1084&amp;B1084</f>
        <v>3470602003</v>
      </c>
      <c r="D1084" s="13" t="n">
        <v>18958.97</v>
      </c>
    </row>
    <row r="1085" customFormat="false" ht="15.75" hidden="false" customHeight="true" outlineLevel="0" collapsed="false">
      <c r="A1085" s="2" t="s">
        <v>91</v>
      </c>
      <c r="B1085" s="2" t="s">
        <v>10</v>
      </c>
      <c r="C1085" s="1" t="str">
        <f aca="false">A1085&amp;B1085</f>
        <v>3470602004</v>
      </c>
      <c r="D1085" s="13" t="n">
        <v>7776.14</v>
      </c>
    </row>
    <row r="1086" customFormat="false" ht="15.75" hidden="false" customHeight="true" outlineLevel="0" collapsed="false">
      <c r="A1086" s="2" t="s">
        <v>91</v>
      </c>
      <c r="B1086" s="2" t="s">
        <v>12</v>
      </c>
      <c r="C1086" s="1" t="str">
        <f aca="false">A1086&amp;B1086</f>
        <v>3470602010</v>
      </c>
      <c r="D1086" s="13" t="n">
        <v>2250490.74</v>
      </c>
    </row>
    <row r="1087" customFormat="false" ht="15.75" hidden="false" customHeight="true" outlineLevel="0" collapsed="false">
      <c r="A1087" s="2" t="s">
        <v>91</v>
      </c>
      <c r="B1087" s="2" t="s">
        <v>13</v>
      </c>
      <c r="C1087" s="1" t="str">
        <f aca="false">A1087&amp;B1087</f>
        <v>3470602020</v>
      </c>
      <c r="D1087" s="13" t="n">
        <v>636982.37</v>
      </c>
    </row>
    <row r="1088" customFormat="false" ht="15.75" hidden="false" customHeight="true" outlineLevel="0" collapsed="false">
      <c r="A1088" s="2" t="s">
        <v>91</v>
      </c>
      <c r="B1088" s="2" t="s">
        <v>14</v>
      </c>
      <c r="C1088" s="1" t="str">
        <f aca="false">A1088&amp;B1088</f>
        <v>3470602030</v>
      </c>
      <c r="D1088" s="13" t="n">
        <v>382969.67</v>
      </c>
    </row>
    <row r="1089" customFormat="false" ht="15.75" hidden="false" customHeight="true" outlineLevel="0" collapsed="false">
      <c r="A1089" s="2" t="s">
        <v>91</v>
      </c>
      <c r="B1089" s="2" t="s">
        <v>42</v>
      </c>
      <c r="C1089" s="1" t="str">
        <f aca="false">A1089&amp;B1089</f>
        <v>3470602040</v>
      </c>
      <c r="D1089" s="13" t="n">
        <v>666460.56</v>
      </c>
    </row>
    <row r="1090" customFormat="false" ht="15.75" hidden="false" customHeight="true" outlineLevel="0" collapsed="false">
      <c r="A1090" s="2" t="s">
        <v>91</v>
      </c>
      <c r="B1090" s="2" t="s">
        <v>43</v>
      </c>
      <c r="C1090" s="1" t="str">
        <f aca="false">A1090&amp;B1090</f>
        <v>3470602050</v>
      </c>
      <c r="D1090" s="13" t="n">
        <v>52419.61</v>
      </c>
    </row>
    <row r="1091" customFormat="false" ht="15.75" hidden="false" customHeight="true" outlineLevel="0" collapsed="false">
      <c r="A1091" s="2" t="s">
        <v>91</v>
      </c>
      <c r="B1091" s="2" t="s">
        <v>44</v>
      </c>
      <c r="C1091" s="1" t="str">
        <f aca="false">A1091&amp;B1091</f>
        <v>3470602060</v>
      </c>
      <c r="D1091" s="13" t="n">
        <v>12567.24</v>
      </c>
    </row>
    <row r="1092" customFormat="false" ht="15.75" hidden="false" customHeight="true" outlineLevel="0" collapsed="false">
      <c r="A1092" s="2" t="s">
        <v>91</v>
      </c>
      <c r="B1092" s="2" t="s">
        <v>15</v>
      </c>
      <c r="C1092" s="1" t="str">
        <f aca="false">A1092&amp;B1092</f>
        <v>3470602070</v>
      </c>
      <c r="D1092" s="13" t="n">
        <v>1935009.78</v>
      </c>
    </row>
    <row r="1093" customFormat="false" ht="15.75" hidden="false" customHeight="true" outlineLevel="0" collapsed="false">
      <c r="A1093" s="2" t="s">
        <v>91</v>
      </c>
      <c r="B1093" s="2" t="s">
        <v>45</v>
      </c>
      <c r="C1093" s="1" t="str">
        <f aca="false">A1093&amp;B1093</f>
        <v>3470602071</v>
      </c>
      <c r="D1093" s="13" t="n">
        <v>-24915.8</v>
      </c>
    </row>
    <row r="1094" customFormat="false" ht="15.75" hidden="false" customHeight="true" outlineLevel="0" collapsed="false">
      <c r="A1094" s="2" t="s">
        <v>91</v>
      </c>
      <c r="B1094" s="2" t="s">
        <v>16</v>
      </c>
      <c r="C1094" s="1" t="str">
        <f aca="false">A1094&amp;B1094</f>
        <v>3470602072</v>
      </c>
      <c r="D1094" s="13" t="n">
        <v>1556890.44</v>
      </c>
    </row>
    <row r="1095" customFormat="false" ht="15.75" hidden="false" customHeight="true" outlineLevel="0" collapsed="false">
      <c r="A1095" s="2" t="s">
        <v>91</v>
      </c>
      <c r="B1095" s="2" t="s">
        <v>46</v>
      </c>
      <c r="C1095" s="1" t="str">
        <f aca="false">A1095&amp;B1095</f>
        <v>3470602073</v>
      </c>
      <c r="D1095" s="13" t="n">
        <v>8375.36</v>
      </c>
    </row>
    <row r="1096" customFormat="false" ht="15.75" hidden="false" customHeight="true" outlineLevel="0" collapsed="false">
      <c r="A1096" s="2" t="s">
        <v>91</v>
      </c>
      <c r="B1096" s="2" t="s">
        <v>47</v>
      </c>
      <c r="C1096" s="1" t="str">
        <f aca="false">A1096&amp;B1096</f>
        <v>3470602074</v>
      </c>
      <c r="D1096" s="13" t="n">
        <v>81608.55</v>
      </c>
    </row>
    <row r="1097" customFormat="false" ht="15.75" hidden="false" customHeight="true" outlineLevel="0" collapsed="false">
      <c r="A1097" s="2" t="s">
        <v>91</v>
      </c>
      <c r="B1097" s="2" t="s">
        <v>48</v>
      </c>
      <c r="C1097" s="1" t="str">
        <f aca="false">A1097&amp;B1097</f>
        <v>3470602080</v>
      </c>
      <c r="D1097" s="13" t="n">
        <v>1150532.72</v>
      </c>
    </row>
    <row r="1098" customFormat="false" ht="15.75" hidden="false" customHeight="true" outlineLevel="0" collapsed="false">
      <c r="A1098" s="2" t="s">
        <v>91</v>
      </c>
      <c r="B1098" s="2" t="s">
        <v>17</v>
      </c>
      <c r="C1098" s="1" t="str">
        <f aca="false">A1098&amp;B1098</f>
        <v>3470603000</v>
      </c>
      <c r="D1098" s="13" t="n">
        <v>2644341.34</v>
      </c>
    </row>
    <row r="1099" customFormat="false" ht="15.75" hidden="false" customHeight="true" outlineLevel="0" collapsed="false">
      <c r="A1099" s="2" t="s">
        <v>91</v>
      </c>
      <c r="B1099" s="2" t="s">
        <v>78</v>
      </c>
      <c r="C1099" s="1" t="str">
        <f aca="false">A1099&amp;B1099</f>
        <v>3470604000</v>
      </c>
      <c r="D1099" s="13" t="n">
        <v>31521.07</v>
      </c>
    </row>
    <row r="1100" customFormat="false" ht="15.75" hidden="false" customHeight="true" outlineLevel="0" collapsed="false">
      <c r="A1100" s="2" t="s">
        <v>91</v>
      </c>
      <c r="B1100" s="2" t="s">
        <v>22</v>
      </c>
      <c r="C1100" s="1" t="str">
        <f aca="false">A1100&amp;B1100</f>
        <v>3470604010</v>
      </c>
      <c r="D1100" s="13" t="n">
        <v>550196.39</v>
      </c>
    </row>
    <row r="1101" customFormat="false" ht="15.75" hidden="false" customHeight="true" outlineLevel="0" collapsed="false">
      <c r="A1101" s="2" t="s">
        <v>91</v>
      </c>
      <c r="B1101" s="2" t="s">
        <v>33</v>
      </c>
      <c r="C1101" s="1" t="str">
        <f aca="false">A1101&amp;B1101</f>
        <v>3470604031</v>
      </c>
      <c r="D1101" s="13" t="n">
        <v>-393861.89</v>
      </c>
    </row>
    <row r="1102" customFormat="false" ht="15.75" hidden="false" customHeight="true" outlineLevel="0" collapsed="false">
      <c r="A1102" s="2" t="s">
        <v>91</v>
      </c>
      <c r="B1102" s="2" t="s">
        <v>19</v>
      </c>
      <c r="C1102" s="1" t="str">
        <f aca="false">A1102&amp;B1102</f>
        <v>3470604040</v>
      </c>
      <c r="D1102" s="13" t="n">
        <v>2284788.59</v>
      </c>
    </row>
    <row r="1103" customFormat="false" ht="15.75" hidden="false" customHeight="true" outlineLevel="0" collapsed="false">
      <c r="A1103" s="2" t="s">
        <v>91</v>
      </c>
      <c r="B1103" s="2" t="s">
        <v>49</v>
      </c>
      <c r="C1103" s="1" t="str">
        <f aca="false">A1103&amp;B1103</f>
        <v>3470604050</v>
      </c>
      <c r="D1103" s="13" t="n">
        <v>70083.88</v>
      </c>
    </row>
    <row r="1104" customFormat="false" ht="15.75" hidden="false" customHeight="true" outlineLevel="0" collapsed="false">
      <c r="A1104" s="2" t="s">
        <v>91</v>
      </c>
      <c r="B1104" s="2" t="s">
        <v>50</v>
      </c>
      <c r="C1104" s="1" t="str">
        <f aca="false">A1104&amp;B1104</f>
        <v>3470604060</v>
      </c>
      <c r="D1104" s="13" t="n">
        <v>-114760</v>
      </c>
    </row>
    <row r="1105" customFormat="false" ht="15.75" hidden="false" customHeight="true" outlineLevel="0" collapsed="false">
      <c r="A1105" s="2" t="s">
        <v>91</v>
      </c>
      <c r="B1105" s="2" t="s">
        <v>174</v>
      </c>
      <c r="C1105" s="1" t="str">
        <f aca="false">A1105&amp;B1105</f>
        <v>3470604900</v>
      </c>
      <c r="D1105" s="13" t="n">
        <v>295610508.34</v>
      </c>
    </row>
    <row r="1106" customFormat="false" ht="15.75" hidden="false" customHeight="true" outlineLevel="0" collapsed="false">
      <c r="A1106" s="2" t="s">
        <v>91</v>
      </c>
      <c r="B1106" s="2" t="s">
        <v>51</v>
      </c>
      <c r="C1106" s="1" t="str">
        <f aca="false">A1106&amp;B1106</f>
        <v>3470605000</v>
      </c>
      <c r="D1106" s="13" t="n">
        <v>1092365.29</v>
      </c>
    </row>
    <row r="1107" customFormat="false" ht="15.75" hidden="false" customHeight="true" outlineLevel="0" collapsed="false">
      <c r="A1107" s="2" t="s">
        <v>91</v>
      </c>
      <c r="B1107" s="2" t="s">
        <v>52</v>
      </c>
      <c r="C1107" s="1" t="str">
        <f aca="false">A1107&amp;B1107</f>
        <v>3470605010</v>
      </c>
      <c r="D1107" s="13" t="n">
        <v>440776.97</v>
      </c>
    </row>
    <row r="1108" customFormat="false" ht="15.75" hidden="false" customHeight="true" outlineLevel="0" collapsed="false">
      <c r="A1108" s="2" t="s">
        <v>91</v>
      </c>
      <c r="B1108" s="2" t="s">
        <v>53</v>
      </c>
      <c r="C1108" s="1" t="str">
        <f aca="false">A1108&amp;B1108</f>
        <v>3470605020</v>
      </c>
      <c r="D1108" s="13" t="n">
        <v>19654703.9</v>
      </c>
    </row>
    <row r="1109" customFormat="false" ht="15.75" hidden="false" customHeight="true" outlineLevel="0" collapsed="false">
      <c r="A1109" s="2" t="s">
        <v>91</v>
      </c>
      <c r="B1109" s="2" t="s">
        <v>92</v>
      </c>
      <c r="C1109" s="1" t="str">
        <f aca="false">A1109&amp;B1109</f>
        <v>3470605030</v>
      </c>
      <c r="D1109" s="13" t="n">
        <v>-6751020.37</v>
      </c>
    </row>
    <row r="1110" customFormat="false" ht="15.75" hidden="false" customHeight="true" outlineLevel="0" collapsed="false">
      <c r="A1110" s="2" t="s">
        <v>91</v>
      </c>
      <c r="B1110" s="2" t="s">
        <v>93</v>
      </c>
      <c r="C1110" s="1" t="str">
        <f aca="false">A1110&amp;B1110</f>
        <v>3470605031</v>
      </c>
      <c r="D1110" s="13" t="n">
        <v>18108785.12</v>
      </c>
    </row>
    <row r="1111" customFormat="false" ht="15.75" hidden="false" customHeight="true" outlineLevel="0" collapsed="false">
      <c r="A1111" s="2" t="s">
        <v>91</v>
      </c>
      <c r="B1111" s="2" t="s">
        <v>54</v>
      </c>
      <c r="C1111" s="1" t="str">
        <f aca="false">A1111&amp;B1111</f>
        <v>3470606000</v>
      </c>
      <c r="D1111" s="13" t="n">
        <v>115215.47</v>
      </c>
    </row>
    <row r="1112" customFormat="false" ht="15.75" hidden="false" customHeight="true" outlineLevel="0" collapsed="false">
      <c r="A1112" s="2" t="s">
        <v>91</v>
      </c>
      <c r="B1112" s="2" t="s">
        <v>55</v>
      </c>
      <c r="C1112" s="1" t="str">
        <f aca="false">A1112&amp;B1112</f>
        <v>3470606010</v>
      </c>
      <c r="D1112" s="13" t="n">
        <v>0</v>
      </c>
    </row>
    <row r="1113" customFormat="false" ht="15.75" hidden="false" customHeight="true" outlineLevel="0" collapsed="false">
      <c r="A1113" s="2" t="s">
        <v>91</v>
      </c>
      <c r="B1113" s="2" t="s">
        <v>56</v>
      </c>
      <c r="C1113" s="1" t="str">
        <f aca="false">A1113&amp;B1113</f>
        <v>3470606020</v>
      </c>
      <c r="D1113" s="13" t="n">
        <v>333143.87</v>
      </c>
    </row>
    <row r="1114" customFormat="false" ht="15.75" hidden="false" customHeight="true" outlineLevel="0" collapsed="false">
      <c r="A1114" s="2" t="s">
        <v>91</v>
      </c>
      <c r="B1114" s="2" t="s">
        <v>57</v>
      </c>
      <c r="C1114" s="1" t="str">
        <f aca="false">A1114&amp;B1114</f>
        <v>3470606030</v>
      </c>
      <c r="D1114" s="13" t="n">
        <v>647.19</v>
      </c>
    </row>
    <row r="1115" customFormat="false" ht="15.75" hidden="false" customHeight="true" outlineLevel="0" collapsed="false">
      <c r="A1115" s="2" t="s">
        <v>91</v>
      </c>
      <c r="B1115" s="2" t="s">
        <v>58</v>
      </c>
      <c r="C1115" s="1" t="str">
        <f aca="false">A1115&amp;B1115</f>
        <v>3470606031</v>
      </c>
      <c r="D1115" s="13" t="n">
        <v>359104.8</v>
      </c>
    </row>
    <row r="1116" customFormat="false" ht="15.75" hidden="false" customHeight="true" outlineLevel="0" collapsed="false">
      <c r="A1116" s="2" t="s">
        <v>91</v>
      </c>
      <c r="B1116" s="2" t="s">
        <v>31</v>
      </c>
      <c r="C1116" s="1" t="str">
        <f aca="false">A1116&amp;B1116</f>
        <v>3470607000</v>
      </c>
      <c r="D1116" s="13" t="n">
        <v>476.99</v>
      </c>
    </row>
    <row r="1117" customFormat="false" ht="15.75" hidden="false" customHeight="true" outlineLevel="0" collapsed="false">
      <c r="A1117" s="2" t="s">
        <v>91</v>
      </c>
      <c r="B1117" s="2" t="s">
        <v>32</v>
      </c>
      <c r="C1117" s="1" t="str">
        <f aca="false">A1117&amp;B1117</f>
        <v>3470607010</v>
      </c>
      <c r="D1117" s="13" t="n">
        <v>7615</v>
      </c>
    </row>
    <row r="1118" customFormat="false" ht="15.75" hidden="false" customHeight="true" outlineLevel="0" collapsed="false">
      <c r="A1118" s="2" t="s">
        <v>91</v>
      </c>
      <c r="B1118" s="2" t="s">
        <v>61</v>
      </c>
      <c r="C1118" s="1" t="str">
        <f aca="false">A1118&amp;B1118</f>
        <v>3470608000</v>
      </c>
      <c r="D1118" s="13" t="n">
        <v>20826.85</v>
      </c>
    </row>
    <row r="1119" customFormat="false" ht="15.75" hidden="false" customHeight="true" outlineLevel="0" collapsed="false">
      <c r="A1119" s="2" t="s">
        <v>91</v>
      </c>
      <c r="B1119" s="2" t="s">
        <v>59</v>
      </c>
      <c r="C1119" s="1" t="str">
        <f aca="false">A1119&amp;B1119</f>
        <v>3470608010</v>
      </c>
      <c r="D1119" s="13" t="n">
        <v>38101.71</v>
      </c>
    </row>
    <row r="1120" customFormat="false" ht="15.75" hidden="false" customHeight="true" outlineLevel="0" collapsed="false">
      <c r="A1120" s="2" t="s">
        <v>91</v>
      </c>
      <c r="B1120" s="2" t="s">
        <v>23</v>
      </c>
      <c r="C1120" s="1" t="str">
        <f aca="false">A1120&amp;B1120</f>
        <v>3470608020</v>
      </c>
      <c r="D1120" s="13" t="n">
        <v>1360838.87</v>
      </c>
    </row>
    <row r="1121" customFormat="false" ht="15.75" hidden="false" customHeight="true" outlineLevel="0" collapsed="false">
      <c r="A1121" s="2" t="s">
        <v>91</v>
      </c>
      <c r="B1121" s="2" t="s">
        <v>60</v>
      </c>
      <c r="C1121" s="1" t="str">
        <f aca="false">A1121&amp;B1121</f>
        <v>3470608040</v>
      </c>
      <c r="D1121" s="13" t="n">
        <v>114406.97</v>
      </c>
    </row>
    <row r="1122" customFormat="false" ht="15.75" hidden="false" customHeight="true" outlineLevel="0" collapsed="false">
      <c r="A1122" s="2" t="s">
        <v>91</v>
      </c>
      <c r="B1122" s="2" t="s">
        <v>63</v>
      </c>
      <c r="C1122" s="1" t="str">
        <f aca="false">A1122&amp;B1122</f>
        <v>3470609000</v>
      </c>
      <c r="D1122" s="13" t="n">
        <v>489479.7</v>
      </c>
    </row>
    <row r="1123" customFormat="false" ht="15.75" hidden="false" customHeight="true" outlineLevel="0" collapsed="false">
      <c r="A1123" s="2" t="s">
        <v>91</v>
      </c>
      <c r="B1123" s="2" t="s">
        <v>27</v>
      </c>
      <c r="C1123" s="1" t="str">
        <f aca="false">A1123&amp;B1123</f>
        <v>3470609002</v>
      </c>
      <c r="D1123" s="13" t="n">
        <v>284727.36</v>
      </c>
    </row>
    <row r="1124" customFormat="false" ht="15.75" hidden="false" customHeight="true" outlineLevel="0" collapsed="false">
      <c r="A1124" s="2" t="s">
        <v>91</v>
      </c>
      <c r="B1124" s="2" t="s">
        <v>28</v>
      </c>
      <c r="C1124" s="1" t="str">
        <f aca="false">A1124&amp;B1124</f>
        <v>3470609003</v>
      </c>
      <c r="D1124" s="13" t="n">
        <v>105372.2</v>
      </c>
    </row>
    <row r="1125" customFormat="false" ht="15.75" hidden="false" customHeight="true" outlineLevel="0" collapsed="false">
      <c r="A1125" s="2" t="s">
        <v>91</v>
      </c>
      <c r="B1125" s="2" t="s">
        <v>24</v>
      </c>
      <c r="C1125" s="1" t="str">
        <f aca="false">A1125&amp;B1125</f>
        <v>3470609004</v>
      </c>
      <c r="D1125" s="13" t="n">
        <v>317710.66</v>
      </c>
    </row>
    <row r="1126" customFormat="false" ht="15.75" hidden="false" customHeight="true" outlineLevel="0" collapsed="false">
      <c r="A1126" s="2" t="s">
        <v>91</v>
      </c>
      <c r="B1126" s="2" t="s">
        <v>25</v>
      </c>
      <c r="C1126" s="1" t="str">
        <f aca="false">A1126&amp;B1126</f>
        <v>3470609005</v>
      </c>
      <c r="D1126" s="13" t="n">
        <v>45873.68</v>
      </c>
    </row>
    <row r="1127" customFormat="false" ht="15.75" hidden="false" customHeight="true" outlineLevel="0" collapsed="false">
      <c r="A1127" s="2" t="s">
        <v>91</v>
      </c>
      <c r="B1127" s="2" t="s">
        <v>37</v>
      </c>
      <c r="C1127" s="1" t="str">
        <f aca="false">A1127&amp;B1127</f>
        <v>3470609008</v>
      </c>
      <c r="D1127" s="13" t="n">
        <v>337411.09</v>
      </c>
    </row>
    <row r="1128" customFormat="false" ht="15.75" hidden="false" customHeight="true" outlineLevel="0" collapsed="false">
      <c r="A1128" s="2" t="s">
        <v>91</v>
      </c>
      <c r="B1128" s="2" t="s">
        <v>29</v>
      </c>
      <c r="C1128" s="1" t="str">
        <f aca="false">A1128&amp;B1128</f>
        <v>3470609009</v>
      </c>
      <c r="D1128" s="13" t="n">
        <v>124358.35</v>
      </c>
    </row>
    <row r="1129" customFormat="false" ht="15.75" hidden="false" customHeight="true" outlineLevel="0" collapsed="false">
      <c r="A1129" s="2" t="s">
        <v>91</v>
      </c>
      <c r="B1129" s="2" t="s">
        <v>30</v>
      </c>
      <c r="C1129" s="1" t="str">
        <f aca="false">A1129&amp;B1129</f>
        <v>3470609010</v>
      </c>
      <c r="D1129" s="13" t="n">
        <v>50299.7</v>
      </c>
    </row>
    <row r="1130" customFormat="false" ht="15.75" hidden="false" customHeight="true" outlineLevel="0" collapsed="false">
      <c r="A1130" s="2" t="s">
        <v>91</v>
      </c>
      <c r="B1130" s="2" t="s">
        <v>39</v>
      </c>
      <c r="C1130" s="1" t="str">
        <f aca="false">A1130&amp;B1130</f>
        <v>3470609012</v>
      </c>
      <c r="D1130" s="13" t="n">
        <v>-25041.73</v>
      </c>
    </row>
    <row r="1131" customFormat="false" ht="15.75" hidden="false" customHeight="true" outlineLevel="0" collapsed="false">
      <c r="A1131" s="2" t="s">
        <v>91</v>
      </c>
      <c r="B1131" s="2" t="s">
        <v>64</v>
      </c>
      <c r="C1131" s="1" t="str">
        <f aca="false">A1131&amp;B1131</f>
        <v>3470610000</v>
      </c>
      <c r="D1131" s="13" t="n">
        <v>32610065.97</v>
      </c>
    </row>
    <row r="1132" customFormat="false" ht="15.75" hidden="false" customHeight="true" outlineLevel="0" collapsed="false">
      <c r="A1132" s="2" t="s">
        <v>91</v>
      </c>
      <c r="B1132" s="2" t="s">
        <v>65</v>
      </c>
      <c r="C1132" s="1" t="str">
        <f aca="false">A1132&amp;B1132</f>
        <v>3470610001</v>
      </c>
      <c r="D1132" s="13" t="n">
        <v>8697129.84</v>
      </c>
    </row>
    <row r="1133" customFormat="false" ht="15.75" hidden="false" customHeight="true" outlineLevel="0" collapsed="false">
      <c r="A1133" s="2" t="s">
        <v>91</v>
      </c>
      <c r="B1133" s="2" t="s">
        <v>82</v>
      </c>
      <c r="C1133" s="1" t="str">
        <f aca="false">A1133&amp;B1133</f>
        <v>3470610002</v>
      </c>
      <c r="D1133" s="13" t="n">
        <v>-3541112.92</v>
      </c>
    </row>
    <row r="1134" customFormat="false" ht="15.75" hidden="false" customHeight="true" outlineLevel="0" collapsed="false">
      <c r="A1134" s="2" t="s">
        <v>91</v>
      </c>
      <c r="B1134" s="2" t="s">
        <v>66</v>
      </c>
      <c r="C1134" s="1" t="str">
        <f aca="false">A1134&amp;B1134</f>
        <v>3470610003</v>
      </c>
      <c r="D1134" s="13" t="n">
        <v>-1271663.84</v>
      </c>
    </row>
    <row r="1135" customFormat="false" ht="15.75" hidden="false" customHeight="true" outlineLevel="0" collapsed="false">
      <c r="A1135" s="2" t="s">
        <v>91</v>
      </c>
      <c r="B1135" s="2" t="s">
        <v>67</v>
      </c>
      <c r="C1135" s="1" t="str">
        <f aca="false">A1135&amp;B1135</f>
        <v>3470610004</v>
      </c>
      <c r="D1135" s="13" t="n">
        <v>1368927.06</v>
      </c>
    </row>
    <row r="1136" customFormat="false" ht="15.75" hidden="false" customHeight="true" outlineLevel="0" collapsed="false">
      <c r="A1136" s="2" t="s">
        <v>91</v>
      </c>
      <c r="B1136" s="2" t="s">
        <v>94</v>
      </c>
      <c r="C1136" s="1" t="str">
        <f aca="false">A1136&amp;B1136</f>
        <v>3470620000</v>
      </c>
      <c r="D1136" s="13" t="n">
        <v>216694283.85</v>
      </c>
    </row>
    <row r="1137" customFormat="false" ht="15.75" hidden="false" customHeight="true" outlineLevel="0" collapsed="false">
      <c r="A1137" s="2" t="s">
        <v>91</v>
      </c>
      <c r="B1137" s="2" t="s">
        <v>95</v>
      </c>
      <c r="C1137" s="1" t="str">
        <f aca="false">A1137&amp;B1137</f>
        <v>3470620001</v>
      </c>
      <c r="D1137" s="13" t="n">
        <v>-41637943.05</v>
      </c>
    </row>
    <row r="1138" customFormat="false" ht="15.75" hidden="false" customHeight="true" outlineLevel="0" collapsed="false">
      <c r="A1138" s="2" t="s">
        <v>91</v>
      </c>
      <c r="B1138" s="2" t="s">
        <v>96</v>
      </c>
      <c r="C1138" s="1" t="str">
        <f aca="false">A1138&amp;B1138</f>
        <v>3470620020</v>
      </c>
      <c r="D1138" s="13" t="n">
        <v>7164687.9</v>
      </c>
    </row>
    <row r="1139" customFormat="false" ht="15.75" hidden="false" customHeight="true" outlineLevel="0" collapsed="false">
      <c r="A1139" s="2" t="s">
        <v>91</v>
      </c>
      <c r="B1139" s="2" t="s">
        <v>97</v>
      </c>
      <c r="C1139" s="1" t="str">
        <f aca="false">A1139&amp;B1139</f>
        <v>3470620030</v>
      </c>
      <c r="D1139" s="13" t="n">
        <v>-52350094.3</v>
      </c>
    </row>
    <row r="1140" customFormat="false" ht="15.75" hidden="false" customHeight="true" outlineLevel="0" collapsed="false">
      <c r="A1140" s="2" t="s">
        <v>91</v>
      </c>
      <c r="B1140" s="2" t="s">
        <v>98</v>
      </c>
      <c r="C1140" s="1" t="str">
        <f aca="false">A1140&amp;B1140</f>
        <v>3470620040</v>
      </c>
      <c r="D1140" s="13" t="n">
        <v>585215</v>
      </c>
    </row>
    <row r="1141" customFormat="false" ht="15.75" hidden="false" customHeight="true" outlineLevel="0" collapsed="false">
      <c r="A1141" s="2" t="s">
        <v>91</v>
      </c>
      <c r="B1141" s="2" t="s">
        <v>176</v>
      </c>
      <c r="C1141" s="1" t="str">
        <f aca="false">A1141&amp;B1141</f>
        <v>3470630001</v>
      </c>
      <c r="D1141" s="13" t="n">
        <v>249220.6</v>
      </c>
    </row>
    <row r="1142" customFormat="false" ht="15.75" hidden="false" customHeight="true" outlineLevel="0" collapsed="false">
      <c r="A1142" s="2" t="s">
        <v>91</v>
      </c>
      <c r="B1142" s="2" t="s">
        <v>177</v>
      </c>
      <c r="C1142" s="1" t="str">
        <f aca="false">A1142&amp;B1142</f>
        <v>3470630002</v>
      </c>
      <c r="D1142" s="13" t="n">
        <v>709252.4</v>
      </c>
    </row>
    <row r="1143" customFormat="false" ht="15.75" hidden="false" customHeight="true" outlineLevel="0" collapsed="false">
      <c r="A1143" s="2" t="s">
        <v>91</v>
      </c>
      <c r="B1143" s="2" t="s">
        <v>304</v>
      </c>
      <c r="C1143" s="1" t="str">
        <f aca="false">A1143&amp;B1143</f>
        <v>3470630004</v>
      </c>
      <c r="D1143" s="13" t="n">
        <v>284829.05</v>
      </c>
    </row>
    <row r="1144" customFormat="false" ht="15.75" hidden="false" customHeight="true" outlineLevel="0" collapsed="false">
      <c r="A1144" s="2" t="s">
        <v>91</v>
      </c>
      <c r="B1144" s="2" t="s">
        <v>292</v>
      </c>
      <c r="C1144" s="1" t="str">
        <f aca="false">A1144&amp;B1144</f>
        <v>3470630005</v>
      </c>
      <c r="D1144" s="13" t="n">
        <v>550662.86</v>
      </c>
    </row>
    <row r="1145" customFormat="false" ht="15.75" hidden="false" customHeight="true" outlineLevel="0" collapsed="false">
      <c r="A1145" s="2" t="s">
        <v>91</v>
      </c>
      <c r="B1145" s="2" t="s">
        <v>490</v>
      </c>
      <c r="C1145" s="1" t="str">
        <f aca="false">A1145&amp;B1145</f>
        <v>3470630100</v>
      </c>
      <c r="D1145" s="13" t="n">
        <v>11357575.85</v>
      </c>
    </row>
    <row r="1146" customFormat="false" ht="15.75" hidden="false" customHeight="true" outlineLevel="0" collapsed="false">
      <c r="A1146" s="2" t="s">
        <v>91</v>
      </c>
      <c r="B1146" s="2" t="s">
        <v>257</v>
      </c>
      <c r="C1146" s="1" t="str">
        <f aca="false">A1146&amp;B1146</f>
        <v>3470630101</v>
      </c>
      <c r="D1146" s="13" t="n">
        <v>48477137.38</v>
      </c>
    </row>
    <row r="1147" customFormat="false" ht="15.75" hidden="false" customHeight="true" outlineLevel="0" collapsed="false">
      <c r="A1147" s="2" t="s">
        <v>91</v>
      </c>
      <c r="B1147" s="2" t="s">
        <v>491</v>
      </c>
      <c r="C1147" s="1" t="str">
        <f aca="false">A1147&amp;B1147</f>
        <v>3470630102</v>
      </c>
      <c r="D1147" s="13" t="n">
        <v>1069652.56</v>
      </c>
    </row>
    <row r="1148" customFormat="false" ht="15.75" hidden="false" customHeight="true" outlineLevel="0" collapsed="false">
      <c r="A1148" s="2" t="s">
        <v>91</v>
      </c>
      <c r="B1148" s="2" t="s">
        <v>492</v>
      </c>
      <c r="C1148" s="1" t="str">
        <f aca="false">A1148&amp;B1148</f>
        <v>3470630104</v>
      </c>
      <c r="D1148" s="13" t="n">
        <v>281379.86</v>
      </c>
    </row>
    <row r="1149" customFormat="false" ht="15.75" hidden="false" customHeight="true" outlineLevel="0" collapsed="false">
      <c r="A1149" s="2" t="s">
        <v>91</v>
      </c>
      <c r="B1149" s="2" t="s">
        <v>258</v>
      </c>
      <c r="C1149" s="1" t="str">
        <f aca="false">A1149&amp;B1149</f>
        <v>3470630200</v>
      </c>
      <c r="D1149" s="13" t="n">
        <v>-60</v>
      </c>
    </row>
    <row r="1150" customFormat="false" ht="15.75" hidden="false" customHeight="true" outlineLevel="0" collapsed="false">
      <c r="A1150" s="2" t="s">
        <v>91</v>
      </c>
      <c r="B1150" s="2" t="s">
        <v>493</v>
      </c>
      <c r="C1150" s="1" t="str">
        <f aca="false">A1150&amp;B1150</f>
        <v>3470630201</v>
      </c>
      <c r="D1150" s="13" t="n">
        <v>1176000000</v>
      </c>
    </row>
    <row r="1151" customFormat="false" ht="15.75" hidden="false" customHeight="true" outlineLevel="0" collapsed="false">
      <c r="A1151" s="2" t="s">
        <v>91</v>
      </c>
      <c r="B1151" s="2" t="s">
        <v>494</v>
      </c>
      <c r="C1151" s="1" t="str">
        <f aca="false">A1151&amp;B1151</f>
        <v>3470630400</v>
      </c>
      <c r="D1151" s="13" t="n">
        <v>1</v>
      </c>
    </row>
    <row r="1152" customFormat="false" ht="15.75" hidden="false" customHeight="true" outlineLevel="0" collapsed="false">
      <c r="A1152" s="2" t="s">
        <v>91</v>
      </c>
      <c r="B1152" s="2" t="s">
        <v>179</v>
      </c>
      <c r="C1152" s="1" t="str">
        <f aca="false">A1152&amp;B1152</f>
        <v>3470640001</v>
      </c>
      <c r="D1152" s="13" t="n">
        <v>763419.73</v>
      </c>
    </row>
    <row r="1153" customFormat="false" ht="15.75" hidden="false" customHeight="true" outlineLevel="0" collapsed="false">
      <c r="A1153" s="2" t="s">
        <v>91</v>
      </c>
      <c r="B1153" s="2" t="s">
        <v>226</v>
      </c>
      <c r="C1153" s="1" t="str">
        <f aca="false">A1153&amp;B1153</f>
        <v>3470640210</v>
      </c>
      <c r="D1153" s="13" t="n">
        <v>51092.01</v>
      </c>
    </row>
    <row r="1154" customFormat="false" ht="15.75" hidden="false" customHeight="true" outlineLevel="0" collapsed="false">
      <c r="A1154" s="2" t="s">
        <v>91</v>
      </c>
      <c r="B1154" s="2" t="s">
        <v>182</v>
      </c>
      <c r="C1154" s="1" t="str">
        <f aca="false">A1154&amp;B1154</f>
        <v>3470690000</v>
      </c>
      <c r="D1154" s="13" t="n">
        <v>-138201</v>
      </c>
    </row>
    <row r="1155" customFormat="false" ht="15.75" hidden="false" customHeight="true" outlineLevel="0" collapsed="false">
      <c r="A1155" s="2" t="s">
        <v>91</v>
      </c>
      <c r="B1155" s="2" t="s">
        <v>321</v>
      </c>
      <c r="C1155" s="1" t="str">
        <f aca="false">A1155&amp;B1155</f>
        <v>3470699999</v>
      </c>
      <c r="D1155" s="13" t="n">
        <v>0</v>
      </c>
    </row>
    <row r="1156" customFormat="false" ht="15.75" hidden="false" customHeight="true" outlineLevel="0" collapsed="false">
      <c r="A1156" s="2" t="s">
        <v>91</v>
      </c>
      <c r="B1156" s="2" t="s">
        <v>495</v>
      </c>
      <c r="C1156" s="1" t="str">
        <f aca="false">A1156&amp;B1156</f>
        <v>3470700000</v>
      </c>
      <c r="D1156" s="13" t="n">
        <v>0</v>
      </c>
    </row>
    <row r="1157" customFormat="false" ht="15.75" hidden="false" customHeight="true" outlineLevel="0" collapsed="false">
      <c r="A1157" s="2" t="s">
        <v>91</v>
      </c>
      <c r="B1157" s="2" t="s">
        <v>496</v>
      </c>
      <c r="C1157" s="1" t="str">
        <f aca="false">A1157&amp;B1157</f>
        <v>3470700001</v>
      </c>
      <c r="D1157" s="13" t="n">
        <v>0</v>
      </c>
    </row>
    <row r="1158" customFormat="false" ht="15.75" hidden="false" customHeight="true" outlineLevel="0" collapsed="false">
      <c r="A1158" s="2" t="s">
        <v>91</v>
      </c>
      <c r="B1158" s="2" t="s">
        <v>20</v>
      </c>
      <c r="C1158" s="1" t="str">
        <f aca="false">A1158&amp;B1158</f>
        <v>3470910001</v>
      </c>
      <c r="D1158" s="13" t="n">
        <v>0</v>
      </c>
    </row>
    <row r="1159" customFormat="false" ht="15.75" hidden="false" customHeight="true" outlineLevel="0" collapsed="false">
      <c r="A1159" s="2" t="s">
        <v>91</v>
      </c>
      <c r="B1159" s="2" t="s">
        <v>34</v>
      </c>
      <c r="C1159" s="1" t="str">
        <f aca="false">A1159&amp;B1159</f>
        <v>3470910002</v>
      </c>
      <c r="D1159" s="13" t="n">
        <v>0</v>
      </c>
    </row>
    <row r="1160" customFormat="false" ht="15.75" hidden="false" customHeight="true" outlineLevel="0" collapsed="false">
      <c r="A1160" s="2" t="s">
        <v>91</v>
      </c>
      <c r="B1160" s="2" t="s">
        <v>18</v>
      </c>
      <c r="C1160" s="1" t="str">
        <f aca="false">A1160&amp;B1160</f>
        <v>3470910003</v>
      </c>
      <c r="D1160" s="13" t="n">
        <v>0</v>
      </c>
    </row>
    <row r="1161" customFormat="false" ht="15.75" hidden="false" customHeight="true" outlineLevel="0" collapsed="false">
      <c r="A1161" s="2" t="s">
        <v>91</v>
      </c>
      <c r="B1161" s="2" t="s">
        <v>35</v>
      </c>
      <c r="C1161" s="1" t="str">
        <f aca="false">A1161&amp;B1161</f>
        <v>3470910004</v>
      </c>
      <c r="D1161" s="13" t="n">
        <v>0</v>
      </c>
    </row>
    <row r="1162" customFormat="false" ht="15.75" hidden="false" customHeight="true" outlineLevel="0" collapsed="false">
      <c r="A1162" s="2" t="s">
        <v>91</v>
      </c>
      <c r="B1162" s="2" t="s">
        <v>183</v>
      </c>
      <c r="C1162" s="1" t="str">
        <f aca="false">A1162&amp;B1162</f>
        <v>3470990000</v>
      </c>
      <c r="D1162" s="13" t="n">
        <v>0</v>
      </c>
    </row>
    <row r="1163" customFormat="false" ht="15.75" hidden="false" customHeight="true" outlineLevel="0" collapsed="false">
      <c r="A1163" s="2" t="s">
        <v>91</v>
      </c>
      <c r="B1163" s="2" t="s">
        <v>184</v>
      </c>
      <c r="C1163" s="1" t="str">
        <f aca="false">A1163&amp;B1163</f>
        <v>3470990002</v>
      </c>
      <c r="D1163" s="13" t="n">
        <v>0</v>
      </c>
    </row>
    <row r="1164" customFormat="false" ht="15.75" hidden="false" customHeight="true" outlineLevel="0" collapsed="false">
      <c r="A1164" s="2" t="s">
        <v>91</v>
      </c>
      <c r="B1164" s="2" t="s">
        <v>185</v>
      </c>
      <c r="C1164" s="1" t="str">
        <f aca="false">A1164&amp;B1164</f>
        <v>3470990003</v>
      </c>
      <c r="D1164" s="13" t="n">
        <v>0</v>
      </c>
    </row>
    <row r="1165" customFormat="false" ht="15.75" hidden="false" customHeight="true" outlineLevel="0" collapsed="false">
      <c r="A1165" s="2" t="s">
        <v>91</v>
      </c>
      <c r="B1165" s="2" t="s">
        <v>227</v>
      </c>
      <c r="C1165" s="1" t="str">
        <f aca="false">A1165&amp;B1165</f>
        <v>3470990099</v>
      </c>
      <c r="D1165" s="13" t="n">
        <v>0</v>
      </c>
    </row>
    <row r="1166" customFormat="false" ht="15.75" hidden="false" customHeight="true" outlineLevel="0" collapsed="false">
      <c r="A1166" s="2" t="s">
        <v>99</v>
      </c>
      <c r="B1166" s="2" t="s">
        <v>129</v>
      </c>
      <c r="C1166" s="1" t="str">
        <f aca="false">A1166&amp;B1166</f>
        <v>3700110098</v>
      </c>
      <c r="D1166" s="13" t="n">
        <v>54014.93</v>
      </c>
    </row>
    <row r="1167" customFormat="false" ht="15.75" hidden="false" customHeight="true" outlineLevel="0" collapsed="false">
      <c r="A1167" s="2" t="s">
        <v>99</v>
      </c>
      <c r="B1167" s="2" t="s">
        <v>130</v>
      </c>
      <c r="C1167" s="1" t="str">
        <f aca="false">A1167&amp;B1167</f>
        <v>3700113000</v>
      </c>
      <c r="D1167" s="13" t="n">
        <v>21178178.33</v>
      </c>
    </row>
    <row r="1168" customFormat="false" ht="15.75" hidden="false" customHeight="true" outlineLevel="0" collapsed="false">
      <c r="A1168" s="2" t="s">
        <v>99</v>
      </c>
      <c r="B1168" s="2" t="s">
        <v>131</v>
      </c>
      <c r="C1168" s="1" t="str">
        <f aca="false">A1168&amp;B1168</f>
        <v>3700120000</v>
      </c>
      <c r="D1168" s="13" t="n">
        <v>9312713.75</v>
      </c>
    </row>
    <row r="1169" customFormat="false" ht="15.75" hidden="false" customHeight="true" outlineLevel="0" collapsed="false">
      <c r="A1169" s="2" t="s">
        <v>99</v>
      </c>
      <c r="B1169" s="2" t="s">
        <v>133</v>
      </c>
      <c r="C1169" s="1" t="str">
        <f aca="false">A1169&amp;B1169</f>
        <v>3700140002</v>
      </c>
      <c r="D1169" s="13" t="n">
        <v>0</v>
      </c>
    </row>
    <row r="1170" customFormat="false" ht="15.75" hidden="false" customHeight="true" outlineLevel="0" collapsed="false">
      <c r="A1170" s="2" t="s">
        <v>99</v>
      </c>
      <c r="B1170" s="2" t="s">
        <v>134</v>
      </c>
      <c r="C1170" s="1" t="str">
        <f aca="false">A1170&amp;B1170</f>
        <v>3700160000</v>
      </c>
      <c r="D1170" s="13" t="n">
        <v>23403258.63</v>
      </c>
    </row>
    <row r="1171" customFormat="false" ht="15.75" hidden="false" customHeight="true" outlineLevel="0" collapsed="false">
      <c r="A1171" s="2" t="s">
        <v>99</v>
      </c>
      <c r="B1171" s="2" t="s">
        <v>135</v>
      </c>
      <c r="C1171" s="1" t="str">
        <f aca="false">A1171&amp;B1171</f>
        <v>3700160100</v>
      </c>
      <c r="D1171" s="13" t="n">
        <v>25519928.83</v>
      </c>
    </row>
    <row r="1172" customFormat="false" ht="15.75" hidden="false" customHeight="true" outlineLevel="0" collapsed="false">
      <c r="A1172" s="2" t="s">
        <v>99</v>
      </c>
      <c r="B1172" s="2" t="s">
        <v>136</v>
      </c>
      <c r="C1172" s="1" t="str">
        <f aca="false">A1172&amp;B1172</f>
        <v>3700160150</v>
      </c>
      <c r="D1172" s="13" t="n">
        <v>-15286535.41</v>
      </c>
    </row>
    <row r="1173" customFormat="false" ht="15.75" hidden="false" customHeight="true" outlineLevel="0" collapsed="false">
      <c r="A1173" s="2" t="s">
        <v>99</v>
      </c>
      <c r="B1173" s="2" t="s">
        <v>137</v>
      </c>
      <c r="C1173" s="1" t="str">
        <f aca="false">A1173&amp;B1173</f>
        <v>3700160200</v>
      </c>
      <c r="D1173" s="13" t="n">
        <v>487708506.2</v>
      </c>
    </row>
    <row r="1174" customFormat="false" ht="15.75" hidden="false" customHeight="true" outlineLevel="0" collapsed="false">
      <c r="A1174" s="2" t="s">
        <v>99</v>
      </c>
      <c r="B1174" s="2" t="s">
        <v>138</v>
      </c>
      <c r="C1174" s="1" t="str">
        <f aca="false">A1174&amp;B1174</f>
        <v>3700160201</v>
      </c>
      <c r="D1174" s="13" t="n">
        <v>19484756.07</v>
      </c>
    </row>
    <row r="1175" customFormat="false" ht="15.75" hidden="false" customHeight="true" outlineLevel="0" collapsed="false">
      <c r="A1175" s="2" t="s">
        <v>99</v>
      </c>
      <c r="B1175" s="2" t="s">
        <v>139</v>
      </c>
      <c r="C1175" s="1" t="str">
        <f aca="false">A1175&amp;B1175</f>
        <v>3700160250</v>
      </c>
      <c r="D1175" s="13" t="n">
        <v>-322810543.48</v>
      </c>
    </row>
    <row r="1176" customFormat="false" ht="15.75" hidden="false" customHeight="true" outlineLevel="0" collapsed="false">
      <c r="A1176" s="2" t="s">
        <v>99</v>
      </c>
      <c r="B1176" s="2" t="s">
        <v>140</v>
      </c>
      <c r="C1176" s="1" t="str">
        <f aca="false">A1176&amp;B1176</f>
        <v>3700160251</v>
      </c>
      <c r="D1176" s="13" t="n">
        <v>-14141231.89</v>
      </c>
    </row>
    <row r="1177" customFormat="false" ht="15.75" hidden="false" customHeight="true" outlineLevel="0" collapsed="false">
      <c r="A1177" s="2" t="s">
        <v>99</v>
      </c>
      <c r="B1177" s="2" t="s">
        <v>299</v>
      </c>
      <c r="C1177" s="1" t="str">
        <f aca="false">A1177&amp;B1177</f>
        <v>3700160300</v>
      </c>
      <c r="D1177" s="13" t="n">
        <v>375398.75</v>
      </c>
    </row>
    <row r="1178" customFormat="false" ht="15.75" hidden="false" customHeight="true" outlineLevel="0" collapsed="false">
      <c r="A1178" s="2" t="s">
        <v>99</v>
      </c>
      <c r="B1178" s="2" t="s">
        <v>141</v>
      </c>
      <c r="C1178" s="1" t="str">
        <f aca="false">A1178&amp;B1178</f>
        <v>3700160302</v>
      </c>
      <c r="D1178" s="13" t="n">
        <v>9082.15</v>
      </c>
    </row>
    <row r="1179" customFormat="false" ht="15.75" hidden="false" customHeight="true" outlineLevel="0" collapsed="false">
      <c r="A1179" s="2" t="s">
        <v>99</v>
      </c>
      <c r="B1179" s="2" t="s">
        <v>300</v>
      </c>
      <c r="C1179" s="1" t="str">
        <f aca="false">A1179&amp;B1179</f>
        <v>3700160350</v>
      </c>
      <c r="D1179" s="13" t="n">
        <v>-235641.57</v>
      </c>
    </row>
    <row r="1180" customFormat="false" ht="15.75" hidden="false" customHeight="true" outlineLevel="0" collapsed="false">
      <c r="A1180" s="2" t="s">
        <v>99</v>
      </c>
      <c r="B1180" s="2" t="s">
        <v>142</v>
      </c>
      <c r="C1180" s="1" t="str">
        <f aca="false">A1180&amp;B1180</f>
        <v>3700160352</v>
      </c>
      <c r="D1180" s="13" t="n">
        <v>-1513.69</v>
      </c>
    </row>
    <row r="1181" customFormat="false" ht="15.75" hidden="false" customHeight="true" outlineLevel="0" collapsed="false">
      <c r="A1181" s="2" t="s">
        <v>99</v>
      </c>
      <c r="B1181" s="2" t="s">
        <v>143</v>
      </c>
      <c r="C1181" s="1" t="str">
        <f aca="false">A1181&amp;B1181</f>
        <v>3700165200</v>
      </c>
      <c r="D1181" s="13" t="n">
        <v>12513035.57</v>
      </c>
    </row>
    <row r="1182" customFormat="false" ht="15.75" hidden="false" customHeight="true" outlineLevel="0" collapsed="false">
      <c r="A1182" s="2" t="s">
        <v>99</v>
      </c>
      <c r="B1182" s="2" t="s">
        <v>242</v>
      </c>
      <c r="C1182" s="1" t="str">
        <f aca="false">A1182&amp;B1182</f>
        <v>3700165201</v>
      </c>
      <c r="D1182" s="13" t="n">
        <v>944000</v>
      </c>
    </row>
    <row r="1183" customFormat="false" ht="15.75" hidden="false" customHeight="true" outlineLevel="0" collapsed="false">
      <c r="A1183" s="2" t="s">
        <v>99</v>
      </c>
      <c r="B1183" s="2" t="s">
        <v>188</v>
      </c>
      <c r="C1183" s="1" t="str">
        <f aca="false">A1183&amp;B1183</f>
        <v>3700191000</v>
      </c>
      <c r="D1183" s="13" t="n">
        <v>1</v>
      </c>
    </row>
    <row r="1184" customFormat="false" ht="15.75" hidden="false" customHeight="true" outlineLevel="0" collapsed="false">
      <c r="A1184" s="2" t="s">
        <v>99</v>
      </c>
      <c r="B1184" s="2" t="s">
        <v>145</v>
      </c>
      <c r="C1184" s="1" t="str">
        <f aca="false">A1184&amp;B1184</f>
        <v>3700193000</v>
      </c>
      <c r="D1184" s="13" t="n">
        <v>3969391</v>
      </c>
    </row>
    <row r="1185" customFormat="false" ht="15.75" hidden="false" customHeight="true" outlineLevel="0" collapsed="false">
      <c r="A1185" s="2" t="s">
        <v>99</v>
      </c>
      <c r="B1185" s="2" t="s">
        <v>274</v>
      </c>
      <c r="C1185" s="1" t="str">
        <f aca="false">A1185&amp;B1185</f>
        <v>3700194000</v>
      </c>
      <c r="D1185" s="13" t="n">
        <v>1875.52</v>
      </c>
    </row>
    <row r="1186" customFormat="false" ht="15.75" hidden="false" customHeight="true" outlineLevel="0" collapsed="false">
      <c r="A1186" s="2" t="s">
        <v>99</v>
      </c>
      <c r="B1186" s="2" t="s">
        <v>147</v>
      </c>
      <c r="C1186" s="1" t="str">
        <f aca="false">A1186&amp;B1186</f>
        <v>3700200004</v>
      </c>
      <c r="D1186" s="13" t="n">
        <v>-521.26</v>
      </c>
    </row>
    <row r="1187" customFormat="false" ht="15.75" hidden="false" customHeight="true" outlineLevel="0" collapsed="false">
      <c r="A1187" s="2" t="s">
        <v>99</v>
      </c>
      <c r="B1187" s="2" t="s">
        <v>246</v>
      </c>
      <c r="C1187" s="1" t="str">
        <f aca="false">A1187&amp;B1187</f>
        <v>3700200007</v>
      </c>
      <c r="D1187" s="13" t="n">
        <v>0</v>
      </c>
    </row>
    <row r="1188" customFormat="false" ht="15.75" hidden="false" customHeight="true" outlineLevel="0" collapsed="false">
      <c r="A1188" s="2" t="s">
        <v>99</v>
      </c>
      <c r="B1188" s="2" t="s">
        <v>148</v>
      </c>
      <c r="C1188" s="1" t="str">
        <f aca="false">A1188&amp;B1188</f>
        <v>3700200098</v>
      </c>
      <c r="D1188" s="13" t="n">
        <v>-317642.2</v>
      </c>
    </row>
    <row r="1189" customFormat="false" ht="15.75" hidden="false" customHeight="true" outlineLevel="0" collapsed="false">
      <c r="A1189" s="2" t="s">
        <v>99</v>
      </c>
      <c r="B1189" s="2" t="s">
        <v>149</v>
      </c>
      <c r="C1189" s="1" t="str">
        <f aca="false">A1189&amp;B1189</f>
        <v>3700200208</v>
      </c>
      <c r="D1189" s="13" t="n">
        <v>47350.04</v>
      </c>
    </row>
    <row r="1190" customFormat="false" ht="15.75" hidden="false" customHeight="true" outlineLevel="0" collapsed="false">
      <c r="A1190" s="2" t="s">
        <v>99</v>
      </c>
      <c r="B1190" s="2" t="s">
        <v>150</v>
      </c>
      <c r="C1190" s="1" t="str">
        <f aca="false">A1190&amp;B1190</f>
        <v>3700200302</v>
      </c>
      <c r="D1190" s="13" t="n">
        <v>50576.04</v>
      </c>
    </row>
    <row r="1191" customFormat="false" ht="15.75" hidden="false" customHeight="true" outlineLevel="0" collapsed="false">
      <c r="A1191" s="2" t="s">
        <v>99</v>
      </c>
      <c r="B1191" s="2" t="s">
        <v>152</v>
      </c>
      <c r="C1191" s="1" t="str">
        <f aca="false">A1191&amp;B1191</f>
        <v>3700201001</v>
      </c>
      <c r="D1191" s="13" t="n">
        <v>-1467462.42</v>
      </c>
    </row>
    <row r="1192" customFormat="false" ht="15.75" hidden="false" customHeight="true" outlineLevel="0" collapsed="false">
      <c r="A1192" s="2" t="s">
        <v>99</v>
      </c>
      <c r="B1192" s="2" t="s">
        <v>154</v>
      </c>
      <c r="C1192" s="1" t="str">
        <f aca="false">A1192&amp;B1192</f>
        <v>3700201300</v>
      </c>
      <c r="D1192" s="13" t="n">
        <v>-105507.3</v>
      </c>
    </row>
    <row r="1193" customFormat="false" ht="15.75" hidden="false" customHeight="true" outlineLevel="0" collapsed="false">
      <c r="A1193" s="2" t="s">
        <v>99</v>
      </c>
      <c r="B1193" s="2" t="s">
        <v>155</v>
      </c>
      <c r="C1193" s="1" t="str">
        <f aca="false">A1193&amp;B1193</f>
        <v>3700201302</v>
      </c>
      <c r="D1193" s="13" t="n">
        <v>-728463.61</v>
      </c>
    </row>
    <row r="1194" customFormat="false" ht="15.75" hidden="false" customHeight="true" outlineLevel="0" collapsed="false">
      <c r="A1194" s="2" t="s">
        <v>99</v>
      </c>
      <c r="B1194" s="2" t="s">
        <v>156</v>
      </c>
      <c r="C1194" s="1" t="str">
        <f aca="false">A1194&amp;B1194</f>
        <v>3700201400</v>
      </c>
      <c r="D1194" s="13" t="n">
        <v>-5285294.9</v>
      </c>
    </row>
    <row r="1195" customFormat="false" ht="15.75" hidden="false" customHeight="true" outlineLevel="0" collapsed="false">
      <c r="A1195" s="2" t="s">
        <v>99</v>
      </c>
      <c r="B1195" s="2" t="s">
        <v>253</v>
      </c>
      <c r="C1195" s="1" t="str">
        <f aca="false">A1195&amp;B1195</f>
        <v>3700201500</v>
      </c>
      <c r="D1195" s="13" t="n">
        <v>-4260.66</v>
      </c>
    </row>
    <row r="1196" customFormat="false" ht="15.75" hidden="false" customHeight="true" outlineLevel="0" collapsed="false">
      <c r="A1196" s="2" t="s">
        <v>99</v>
      </c>
      <c r="B1196" s="2" t="s">
        <v>190</v>
      </c>
      <c r="C1196" s="1" t="str">
        <f aca="false">A1196&amp;B1196</f>
        <v>3700203001</v>
      </c>
      <c r="D1196" s="13" t="n">
        <v>7550.72</v>
      </c>
    </row>
    <row r="1197" customFormat="false" ht="15.75" hidden="false" customHeight="true" outlineLevel="0" collapsed="false">
      <c r="A1197" s="2" t="s">
        <v>99</v>
      </c>
      <c r="B1197" s="2" t="s">
        <v>157</v>
      </c>
      <c r="C1197" s="1" t="str">
        <f aca="false">A1197&amp;B1197</f>
        <v>3700204020</v>
      </c>
      <c r="D1197" s="13" t="n">
        <v>-890847.23</v>
      </c>
    </row>
    <row r="1198" customFormat="false" ht="15.75" hidden="false" customHeight="true" outlineLevel="0" collapsed="false">
      <c r="A1198" s="2" t="s">
        <v>99</v>
      </c>
      <c r="B1198" s="2" t="s">
        <v>158</v>
      </c>
      <c r="C1198" s="1" t="str">
        <f aca="false">A1198&amp;B1198</f>
        <v>3700210000</v>
      </c>
      <c r="D1198" s="13" t="n">
        <v>-554911.93</v>
      </c>
    </row>
    <row r="1199" customFormat="false" ht="15.75" hidden="false" customHeight="true" outlineLevel="0" collapsed="false">
      <c r="A1199" s="2" t="s">
        <v>99</v>
      </c>
      <c r="B1199" s="2" t="s">
        <v>159</v>
      </c>
      <c r="C1199" s="1" t="str">
        <f aca="false">A1199&amp;B1199</f>
        <v>3700210002</v>
      </c>
      <c r="D1199" s="13" t="n">
        <v>-1031451.91</v>
      </c>
    </row>
    <row r="1200" customFormat="false" ht="15.75" hidden="false" customHeight="true" outlineLevel="0" collapsed="false">
      <c r="A1200" s="2" t="s">
        <v>99</v>
      </c>
      <c r="B1200" s="2" t="s">
        <v>160</v>
      </c>
      <c r="C1200" s="1" t="str">
        <f aca="false">A1200&amp;B1200</f>
        <v>3700220001</v>
      </c>
      <c r="D1200" s="13" t="n">
        <v>1460.16</v>
      </c>
    </row>
    <row r="1201" customFormat="false" ht="15.75" hidden="false" customHeight="true" outlineLevel="0" collapsed="false">
      <c r="A1201" s="2" t="s">
        <v>99</v>
      </c>
      <c r="B1201" s="2" t="s">
        <v>421</v>
      </c>
      <c r="C1201" s="1" t="str">
        <f aca="false">A1201&amp;B1201</f>
        <v>3700241200</v>
      </c>
      <c r="D1201" s="13" t="n">
        <v>-2085010</v>
      </c>
    </row>
    <row r="1202" customFormat="false" ht="15.75" hidden="false" customHeight="true" outlineLevel="0" collapsed="false">
      <c r="A1202" s="2" t="s">
        <v>99</v>
      </c>
      <c r="B1202" s="2" t="s">
        <v>123</v>
      </c>
      <c r="C1202" s="1" t="str">
        <f aca="false">A1202&amp;B1202</f>
        <v>3700243000</v>
      </c>
      <c r="D1202" s="13" t="n">
        <v>-72060798.49</v>
      </c>
    </row>
    <row r="1203" customFormat="false" ht="15.75" hidden="false" customHeight="true" outlineLevel="0" collapsed="false">
      <c r="A1203" s="2" t="s">
        <v>99</v>
      </c>
      <c r="B1203" s="2" t="s">
        <v>124</v>
      </c>
      <c r="C1203" s="1" t="str">
        <f aca="false">A1203&amp;B1203</f>
        <v>3700243003</v>
      </c>
      <c r="D1203" s="13" t="n">
        <v>-1062486284.2</v>
      </c>
    </row>
    <row r="1204" customFormat="false" ht="15.75" hidden="false" customHeight="true" outlineLevel="0" collapsed="false">
      <c r="A1204" s="2" t="s">
        <v>99</v>
      </c>
      <c r="B1204" s="2" t="s">
        <v>125</v>
      </c>
      <c r="C1204" s="1" t="str">
        <f aca="false">A1204&amp;B1204</f>
        <v>3700243005</v>
      </c>
      <c r="D1204" s="13" t="n">
        <v>234820567</v>
      </c>
    </row>
    <row r="1205" customFormat="false" ht="15.75" hidden="false" customHeight="true" outlineLevel="0" collapsed="false">
      <c r="A1205" s="2" t="s">
        <v>99</v>
      </c>
      <c r="B1205" s="2" t="s">
        <v>161</v>
      </c>
      <c r="C1205" s="1" t="str">
        <f aca="false">A1205&amp;B1205</f>
        <v>3700243006</v>
      </c>
      <c r="D1205" s="13" t="n">
        <v>0</v>
      </c>
    </row>
    <row r="1206" customFormat="false" ht="15.75" hidden="false" customHeight="true" outlineLevel="0" collapsed="false">
      <c r="A1206" s="2" t="s">
        <v>99</v>
      </c>
      <c r="B1206" s="2" t="s">
        <v>162</v>
      </c>
      <c r="C1206" s="1" t="str">
        <f aca="false">A1206&amp;B1206</f>
        <v>3700250000</v>
      </c>
      <c r="D1206" s="13" t="n">
        <v>-21083.25</v>
      </c>
    </row>
    <row r="1207" customFormat="false" ht="15.75" hidden="false" customHeight="true" outlineLevel="0" collapsed="false">
      <c r="A1207" s="2" t="s">
        <v>99</v>
      </c>
      <c r="B1207" s="2" t="s">
        <v>163</v>
      </c>
      <c r="C1207" s="1" t="str">
        <f aca="false">A1207&amp;B1207</f>
        <v>3700250100</v>
      </c>
      <c r="D1207" s="13" t="n">
        <v>-9887565.85</v>
      </c>
    </row>
    <row r="1208" customFormat="false" ht="15.75" hidden="false" customHeight="true" outlineLevel="0" collapsed="false">
      <c r="A1208" s="2" t="s">
        <v>99</v>
      </c>
      <c r="B1208" s="2" t="s">
        <v>164</v>
      </c>
      <c r="C1208" s="1" t="str">
        <f aca="false">A1208&amp;B1208</f>
        <v>3700260003</v>
      </c>
      <c r="D1208" s="13" t="n">
        <v>-9082.15</v>
      </c>
    </row>
    <row r="1209" customFormat="false" ht="15.75" hidden="false" customHeight="true" outlineLevel="0" collapsed="false">
      <c r="A1209" s="2" t="s">
        <v>99</v>
      </c>
      <c r="B1209" s="2" t="s">
        <v>165</v>
      </c>
      <c r="C1209" s="1" t="str">
        <f aca="false">A1209&amp;B1209</f>
        <v>3700280000</v>
      </c>
      <c r="D1209" s="13" t="n">
        <v>14186260</v>
      </c>
    </row>
    <row r="1210" customFormat="false" ht="15.75" hidden="false" customHeight="true" outlineLevel="0" collapsed="false">
      <c r="A1210" s="2" t="s">
        <v>99</v>
      </c>
      <c r="B1210" s="2" t="s">
        <v>126</v>
      </c>
      <c r="C1210" s="1" t="str">
        <f aca="false">A1210&amp;B1210</f>
        <v>3700300002</v>
      </c>
      <c r="D1210" s="13" t="n">
        <v>-1</v>
      </c>
    </row>
    <row r="1211" customFormat="false" ht="15.75" hidden="false" customHeight="true" outlineLevel="0" collapsed="false">
      <c r="A1211" s="2" t="s">
        <v>99</v>
      </c>
      <c r="B1211" s="2" t="s">
        <v>127</v>
      </c>
      <c r="C1211" s="1" t="str">
        <f aca="false">A1211&amp;B1211</f>
        <v>3700320000</v>
      </c>
      <c r="D1211" s="13" t="n">
        <v>607308014.02</v>
      </c>
    </row>
    <row r="1212" customFormat="false" ht="15.75" hidden="false" customHeight="true" outlineLevel="0" collapsed="false">
      <c r="A1212" s="2" t="s">
        <v>99</v>
      </c>
      <c r="B1212" s="2" t="s">
        <v>166</v>
      </c>
      <c r="C1212" s="1" t="str">
        <f aca="false">A1212&amp;B1212</f>
        <v>3700501200</v>
      </c>
      <c r="D1212" s="13" t="n">
        <v>-71082020.58</v>
      </c>
    </row>
    <row r="1213" customFormat="false" ht="15.75" hidden="false" customHeight="true" outlineLevel="0" collapsed="false">
      <c r="A1213" s="2" t="s">
        <v>99</v>
      </c>
      <c r="B1213" s="2" t="s">
        <v>167</v>
      </c>
      <c r="C1213" s="1" t="str">
        <f aca="false">A1213&amp;B1213</f>
        <v>3700501202</v>
      </c>
      <c r="D1213" s="13" t="n">
        <v>-115518.86</v>
      </c>
    </row>
    <row r="1214" customFormat="false" ht="15.75" hidden="false" customHeight="true" outlineLevel="0" collapsed="false">
      <c r="A1214" s="2" t="s">
        <v>99</v>
      </c>
      <c r="B1214" s="2" t="s">
        <v>288</v>
      </c>
      <c r="C1214" s="1" t="str">
        <f aca="false">A1214&amp;B1214</f>
        <v>3700514000</v>
      </c>
      <c r="D1214" s="13" t="n">
        <v>-25885.81</v>
      </c>
    </row>
    <row r="1215" customFormat="false" ht="15.75" hidden="false" customHeight="true" outlineLevel="0" collapsed="false">
      <c r="A1215" s="2" t="s">
        <v>99</v>
      </c>
      <c r="B1215" s="2" t="s">
        <v>168</v>
      </c>
      <c r="C1215" s="1" t="str">
        <f aca="false">A1215&amp;B1215</f>
        <v>3700514001</v>
      </c>
      <c r="D1215" s="13" t="n">
        <v>-849104.49</v>
      </c>
    </row>
    <row r="1216" customFormat="false" ht="15.75" hidden="false" customHeight="true" outlineLevel="0" collapsed="false">
      <c r="A1216" s="2" t="s">
        <v>99</v>
      </c>
      <c r="B1216" s="2" t="s">
        <v>169</v>
      </c>
      <c r="C1216" s="1" t="str">
        <f aca="false">A1216&amp;B1216</f>
        <v>3700601107</v>
      </c>
      <c r="D1216" s="13" t="n">
        <v>143292.4</v>
      </c>
    </row>
    <row r="1217" customFormat="false" ht="15.75" hidden="false" customHeight="true" outlineLevel="0" collapsed="false">
      <c r="A1217" s="2" t="s">
        <v>99</v>
      </c>
      <c r="B1217" s="2" t="s">
        <v>170</v>
      </c>
      <c r="C1217" s="1" t="str">
        <f aca="false">A1217&amp;B1217</f>
        <v>3700601111</v>
      </c>
      <c r="D1217" s="13" t="n">
        <v>536249.66</v>
      </c>
    </row>
    <row r="1218" customFormat="false" ht="15.75" hidden="false" customHeight="true" outlineLevel="0" collapsed="false">
      <c r="A1218" s="2" t="s">
        <v>99</v>
      </c>
      <c r="B1218" s="2" t="s">
        <v>172</v>
      </c>
      <c r="C1218" s="1" t="str">
        <f aca="false">A1218&amp;B1218</f>
        <v>3700601114</v>
      </c>
      <c r="D1218" s="13" t="n">
        <v>838.2</v>
      </c>
    </row>
    <row r="1219" customFormat="false" ht="15.75" hidden="false" customHeight="true" outlineLevel="0" collapsed="false">
      <c r="A1219" s="2" t="s">
        <v>99</v>
      </c>
      <c r="B1219" s="2" t="s">
        <v>479</v>
      </c>
      <c r="C1219" s="1" t="str">
        <f aca="false">A1219&amp;B1219</f>
        <v>3700601118</v>
      </c>
      <c r="D1219" s="13" t="n">
        <v>10065874.72</v>
      </c>
    </row>
    <row r="1220" customFormat="false" ht="15.75" hidden="false" customHeight="true" outlineLevel="0" collapsed="false">
      <c r="A1220" s="2" t="s">
        <v>99</v>
      </c>
      <c r="B1220" s="2" t="s">
        <v>173</v>
      </c>
      <c r="C1220" s="1" t="str">
        <f aca="false">A1220&amp;B1220</f>
        <v>3700601300</v>
      </c>
      <c r="D1220" s="13" t="n">
        <v>50936141.27</v>
      </c>
    </row>
    <row r="1221" customFormat="false" ht="15.75" hidden="false" customHeight="true" outlineLevel="0" collapsed="false">
      <c r="A1221" s="2" t="s">
        <v>99</v>
      </c>
      <c r="B1221" s="2" t="s">
        <v>8</v>
      </c>
      <c r="C1221" s="1" t="str">
        <f aca="false">A1221&amp;B1221</f>
        <v>3700602000</v>
      </c>
      <c r="D1221" s="13" t="n">
        <v>2985515.35</v>
      </c>
    </row>
    <row r="1222" customFormat="false" ht="15.75" hidden="false" customHeight="true" outlineLevel="0" collapsed="false">
      <c r="A1222" s="2" t="s">
        <v>99</v>
      </c>
      <c r="B1222" s="2" t="s">
        <v>9</v>
      </c>
      <c r="C1222" s="1" t="str">
        <f aca="false">A1222&amp;B1222</f>
        <v>3700602003</v>
      </c>
      <c r="D1222" s="13" t="n">
        <v>908405.68</v>
      </c>
    </row>
    <row r="1223" customFormat="false" ht="15.75" hidden="false" customHeight="true" outlineLevel="0" collapsed="false">
      <c r="A1223" s="2" t="s">
        <v>99</v>
      </c>
      <c r="B1223" s="2" t="s">
        <v>12</v>
      </c>
      <c r="C1223" s="1" t="str">
        <f aca="false">A1223&amp;B1223</f>
        <v>3700602010</v>
      </c>
      <c r="D1223" s="13" t="n">
        <v>309400.21</v>
      </c>
    </row>
    <row r="1224" customFormat="false" ht="15.75" hidden="false" customHeight="true" outlineLevel="0" collapsed="false">
      <c r="A1224" s="2" t="s">
        <v>99</v>
      </c>
      <c r="B1224" s="2" t="s">
        <v>13</v>
      </c>
      <c r="C1224" s="1" t="str">
        <f aca="false">A1224&amp;B1224</f>
        <v>3700602020</v>
      </c>
      <c r="D1224" s="13" t="n">
        <v>105565.77</v>
      </c>
    </row>
    <row r="1225" customFormat="false" ht="15.75" hidden="false" customHeight="true" outlineLevel="0" collapsed="false">
      <c r="A1225" s="2" t="s">
        <v>99</v>
      </c>
      <c r="B1225" s="2" t="s">
        <v>14</v>
      </c>
      <c r="C1225" s="1" t="str">
        <f aca="false">A1225&amp;B1225</f>
        <v>3700602030</v>
      </c>
      <c r="D1225" s="13" t="n">
        <v>120615.55</v>
      </c>
    </row>
    <row r="1226" customFormat="false" ht="15.75" hidden="false" customHeight="true" outlineLevel="0" collapsed="false">
      <c r="A1226" s="2" t="s">
        <v>99</v>
      </c>
      <c r="B1226" s="2" t="s">
        <v>42</v>
      </c>
      <c r="C1226" s="1" t="str">
        <f aca="false">A1226&amp;B1226</f>
        <v>3700602040</v>
      </c>
      <c r="D1226" s="13" t="n">
        <v>9132.42</v>
      </c>
    </row>
    <row r="1227" customFormat="false" ht="15.75" hidden="false" customHeight="true" outlineLevel="0" collapsed="false">
      <c r="A1227" s="2" t="s">
        <v>99</v>
      </c>
      <c r="B1227" s="2" t="s">
        <v>44</v>
      </c>
      <c r="C1227" s="1" t="str">
        <f aca="false">A1227&amp;B1227</f>
        <v>3700602060</v>
      </c>
      <c r="D1227" s="13" t="n">
        <v>700</v>
      </c>
    </row>
    <row r="1228" customFormat="false" ht="15.75" hidden="false" customHeight="true" outlineLevel="0" collapsed="false">
      <c r="A1228" s="2" t="s">
        <v>99</v>
      </c>
      <c r="B1228" s="2" t="s">
        <v>15</v>
      </c>
      <c r="C1228" s="1" t="str">
        <f aca="false">A1228&amp;B1228</f>
        <v>3700602070</v>
      </c>
      <c r="D1228" s="13" t="n">
        <v>9339.53</v>
      </c>
    </row>
    <row r="1229" customFormat="false" ht="15.75" hidden="false" customHeight="true" outlineLevel="0" collapsed="false">
      <c r="A1229" s="2" t="s">
        <v>99</v>
      </c>
      <c r="B1229" s="2" t="s">
        <v>16</v>
      </c>
      <c r="C1229" s="1" t="str">
        <f aca="false">A1229&amp;B1229</f>
        <v>3700602072</v>
      </c>
      <c r="D1229" s="13" t="n">
        <v>257939.53</v>
      </c>
    </row>
    <row r="1230" customFormat="false" ht="15.75" hidden="false" customHeight="true" outlineLevel="0" collapsed="false">
      <c r="A1230" s="2" t="s">
        <v>99</v>
      </c>
      <c r="B1230" s="2" t="s">
        <v>46</v>
      </c>
      <c r="C1230" s="1" t="str">
        <f aca="false">A1230&amp;B1230</f>
        <v>3700602073</v>
      </c>
      <c r="D1230" s="13" t="n">
        <v>-1833.45</v>
      </c>
    </row>
    <row r="1231" customFormat="false" ht="15.75" hidden="false" customHeight="true" outlineLevel="0" collapsed="false">
      <c r="A1231" s="2" t="s">
        <v>99</v>
      </c>
      <c r="B1231" s="2" t="s">
        <v>47</v>
      </c>
      <c r="C1231" s="1" t="str">
        <f aca="false">A1231&amp;B1231</f>
        <v>3700602074</v>
      </c>
      <c r="D1231" s="13" t="n">
        <v>3613.66</v>
      </c>
    </row>
    <row r="1232" customFormat="false" ht="15.75" hidden="false" customHeight="true" outlineLevel="0" collapsed="false">
      <c r="A1232" s="2" t="s">
        <v>99</v>
      </c>
      <c r="B1232" s="2" t="s">
        <v>48</v>
      </c>
      <c r="C1232" s="1" t="str">
        <f aca="false">A1232&amp;B1232</f>
        <v>3700602080</v>
      </c>
      <c r="D1232" s="13" t="n">
        <v>107946.22</v>
      </c>
    </row>
    <row r="1233" customFormat="false" ht="15.75" hidden="false" customHeight="true" outlineLevel="0" collapsed="false">
      <c r="A1233" s="2" t="s">
        <v>99</v>
      </c>
      <c r="B1233" s="2" t="s">
        <v>17</v>
      </c>
      <c r="C1233" s="1" t="str">
        <f aca="false">A1233&amp;B1233</f>
        <v>3700603000</v>
      </c>
      <c r="D1233" s="13" t="n">
        <v>357380.01</v>
      </c>
    </row>
    <row r="1234" customFormat="false" ht="15.75" hidden="false" customHeight="true" outlineLevel="0" collapsed="false">
      <c r="A1234" s="2" t="s">
        <v>99</v>
      </c>
      <c r="B1234" s="2" t="s">
        <v>22</v>
      </c>
      <c r="C1234" s="1" t="str">
        <f aca="false">A1234&amp;B1234</f>
        <v>3700604010</v>
      </c>
      <c r="D1234" s="13" t="n">
        <v>2985</v>
      </c>
    </row>
    <row r="1235" customFormat="false" ht="15.75" hidden="false" customHeight="true" outlineLevel="0" collapsed="false">
      <c r="A1235" s="2" t="s">
        <v>99</v>
      </c>
      <c r="B1235" s="2" t="s">
        <v>33</v>
      </c>
      <c r="C1235" s="1" t="str">
        <f aca="false">A1235&amp;B1235</f>
        <v>3700604031</v>
      </c>
      <c r="D1235" s="13" t="n">
        <v>3873109.53</v>
      </c>
    </row>
    <row r="1236" customFormat="false" ht="15.75" hidden="false" customHeight="true" outlineLevel="0" collapsed="false">
      <c r="A1236" s="2" t="s">
        <v>99</v>
      </c>
      <c r="B1236" s="2" t="s">
        <v>19</v>
      </c>
      <c r="C1236" s="1" t="str">
        <f aca="false">A1236&amp;B1236</f>
        <v>3700604040</v>
      </c>
      <c r="D1236" s="13" t="n">
        <v>98878</v>
      </c>
    </row>
    <row r="1237" customFormat="false" ht="15.75" hidden="false" customHeight="true" outlineLevel="0" collapsed="false">
      <c r="A1237" s="2" t="s">
        <v>99</v>
      </c>
      <c r="B1237" s="2" t="s">
        <v>50</v>
      </c>
      <c r="C1237" s="1" t="str">
        <f aca="false">A1237&amp;B1237</f>
        <v>3700604060</v>
      </c>
      <c r="D1237" s="13" t="n">
        <v>362676.73</v>
      </c>
    </row>
    <row r="1238" customFormat="false" ht="15.75" hidden="false" customHeight="true" outlineLevel="0" collapsed="false">
      <c r="A1238" s="2" t="s">
        <v>99</v>
      </c>
      <c r="B1238" s="2" t="s">
        <v>174</v>
      </c>
      <c r="C1238" s="1" t="str">
        <f aca="false">A1238&amp;B1238</f>
        <v>3700604900</v>
      </c>
      <c r="D1238" s="13" t="n">
        <v>5567874.9</v>
      </c>
    </row>
    <row r="1239" customFormat="false" ht="15.75" hidden="false" customHeight="true" outlineLevel="0" collapsed="false">
      <c r="A1239" s="2" t="s">
        <v>99</v>
      </c>
      <c r="B1239" s="2" t="s">
        <v>54</v>
      </c>
      <c r="C1239" s="1" t="str">
        <f aca="false">A1239&amp;B1239</f>
        <v>3700606000</v>
      </c>
      <c r="D1239" s="13" t="n">
        <v>46.96</v>
      </c>
    </row>
    <row r="1240" customFormat="false" ht="15.75" hidden="false" customHeight="true" outlineLevel="0" collapsed="false">
      <c r="A1240" s="2" t="s">
        <v>99</v>
      </c>
      <c r="B1240" s="2" t="s">
        <v>31</v>
      </c>
      <c r="C1240" s="1" t="str">
        <f aca="false">A1240&amp;B1240</f>
        <v>3700607000</v>
      </c>
      <c r="D1240" s="13" t="n">
        <v>485658.42</v>
      </c>
    </row>
    <row r="1241" customFormat="false" ht="15.75" hidden="false" customHeight="true" outlineLevel="0" collapsed="false">
      <c r="A1241" s="2" t="s">
        <v>99</v>
      </c>
      <c r="B1241" s="2" t="s">
        <v>75</v>
      </c>
      <c r="C1241" s="1" t="str">
        <f aca="false">A1241&amp;B1241</f>
        <v>3700607040</v>
      </c>
      <c r="D1241" s="13" t="n">
        <v>387.94</v>
      </c>
    </row>
    <row r="1242" customFormat="false" ht="15.75" hidden="false" customHeight="true" outlineLevel="0" collapsed="false">
      <c r="A1242" s="2" t="s">
        <v>99</v>
      </c>
      <c r="B1242" s="2" t="s">
        <v>61</v>
      </c>
      <c r="C1242" s="1" t="str">
        <f aca="false">A1242&amp;B1242</f>
        <v>3700608000</v>
      </c>
      <c r="D1242" s="13" t="n">
        <v>1226.77</v>
      </c>
    </row>
    <row r="1243" customFormat="false" ht="15.75" hidden="false" customHeight="true" outlineLevel="0" collapsed="false">
      <c r="A1243" s="2" t="s">
        <v>99</v>
      </c>
      <c r="B1243" s="2" t="s">
        <v>59</v>
      </c>
      <c r="C1243" s="1" t="str">
        <f aca="false">A1243&amp;B1243</f>
        <v>3700608010</v>
      </c>
      <c r="D1243" s="13" t="n">
        <v>111.76</v>
      </c>
    </row>
    <row r="1244" customFormat="false" ht="15.75" hidden="false" customHeight="true" outlineLevel="0" collapsed="false">
      <c r="A1244" s="2" t="s">
        <v>99</v>
      </c>
      <c r="B1244" s="2" t="s">
        <v>23</v>
      </c>
      <c r="C1244" s="1" t="str">
        <f aca="false">A1244&amp;B1244</f>
        <v>3700608020</v>
      </c>
      <c r="D1244" s="13" t="n">
        <v>25</v>
      </c>
    </row>
    <row r="1245" customFormat="false" ht="15.75" hidden="false" customHeight="true" outlineLevel="0" collapsed="false">
      <c r="A1245" s="2" t="s">
        <v>99</v>
      </c>
      <c r="B1245" s="2" t="s">
        <v>60</v>
      </c>
      <c r="C1245" s="1" t="str">
        <f aca="false">A1245&amp;B1245</f>
        <v>3700608040</v>
      </c>
      <c r="D1245" s="13" t="n">
        <v>1564.5</v>
      </c>
    </row>
    <row r="1246" customFormat="false" ht="15.75" hidden="false" customHeight="true" outlineLevel="0" collapsed="false">
      <c r="A1246" s="2" t="s">
        <v>99</v>
      </c>
      <c r="B1246" s="2" t="s">
        <v>63</v>
      </c>
      <c r="C1246" s="1" t="str">
        <f aca="false">A1246&amp;B1246</f>
        <v>3700609000</v>
      </c>
      <c r="D1246" s="13" t="n">
        <v>2619.04</v>
      </c>
    </row>
    <row r="1247" customFormat="false" ht="15.75" hidden="false" customHeight="true" outlineLevel="0" collapsed="false">
      <c r="A1247" s="2" t="s">
        <v>99</v>
      </c>
      <c r="B1247" s="2" t="s">
        <v>27</v>
      </c>
      <c r="C1247" s="1" t="str">
        <f aca="false">A1247&amp;B1247</f>
        <v>3700609002</v>
      </c>
      <c r="D1247" s="13" t="n">
        <v>232513.48</v>
      </c>
    </row>
    <row r="1248" customFormat="false" ht="15.75" hidden="false" customHeight="true" outlineLevel="0" collapsed="false">
      <c r="A1248" s="2" t="s">
        <v>99</v>
      </c>
      <c r="B1248" s="2" t="s">
        <v>28</v>
      </c>
      <c r="C1248" s="1" t="str">
        <f aca="false">A1248&amp;B1248</f>
        <v>3700609003</v>
      </c>
      <c r="D1248" s="13" t="n">
        <v>80287.4</v>
      </c>
    </row>
    <row r="1249" customFormat="false" ht="15.75" hidden="false" customHeight="true" outlineLevel="0" collapsed="false">
      <c r="A1249" s="2" t="s">
        <v>99</v>
      </c>
      <c r="B1249" s="2" t="s">
        <v>24</v>
      </c>
      <c r="C1249" s="1" t="str">
        <f aca="false">A1249&amp;B1249</f>
        <v>3700609004</v>
      </c>
      <c r="D1249" s="13" t="n">
        <v>71197.65</v>
      </c>
    </row>
    <row r="1250" customFormat="false" ht="15.75" hidden="false" customHeight="true" outlineLevel="0" collapsed="false">
      <c r="A1250" s="2" t="s">
        <v>99</v>
      </c>
      <c r="B1250" s="2" t="s">
        <v>25</v>
      </c>
      <c r="C1250" s="1" t="str">
        <f aca="false">A1250&amp;B1250</f>
        <v>3700609005</v>
      </c>
      <c r="D1250" s="13" t="n">
        <v>1500</v>
      </c>
    </row>
    <row r="1251" customFormat="false" ht="15.75" hidden="false" customHeight="true" outlineLevel="0" collapsed="false">
      <c r="A1251" s="2" t="s">
        <v>99</v>
      </c>
      <c r="B1251" s="2" t="s">
        <v>26</v>
      </c>
      <c r="C1251" s="1" t="str">
        <f aca="false">A1251&amp;B1251</f>
        <v>3700609006</v>
      </c>
      <c r="D1251" s="13" t="n">
        <v>145051.18</v>
      </c>
    </row>
    <row r="1252" customFormat="false" ht="15.75" hidden="false" customHeight="true" outlineLevel="0" collapsed="false">
      <c r="A1252" s="2" t="s">
        <v>99</v>
      </c>
      <c r="B1252" s="2" t="s">
        <v>80</v>
      </c>
      <c r="C1252" s="1" t="str">
        <f aca="false">A1252&amp;B1252</f>
        <v>3700609007</v>
      </c>
      <c r="D1252" s="13" t="n">
        <v>107214.74</v>
      </c>
    </row>
    <row r="1253" customFormat="false" ht="15.75" hidden="false" customHeight="true" outlineLevel="0" collapsed="false">
      <c r="A1253" s="2" t="s">
        <v>99</v>
      </c>
      <c r="B1253" s="2" t="s">
        <v>29</v>
      </c>
      <c r="C1253" s="1" t="str">
        <f aca="false">A1253&amp;B1253</f>
        <v>3700609009</v>
      </c>
      <c r="D1253" s="13" t="n">
        <v>35647.02</v>
      </c>
    </row>
    <row r="1254" customFormat="false" ht="15.75" hidden="false" customHeight="true" outlineLevel="0" collapsed="false">
      <c r="A1254" s="2" t="s">
        <v>99</v>
      </c>
      <c r="B1254" s="2" t="s">
        <v>30</v>
      </c>
      <c r="C1254" s="1" t="str">
        <f aca="false">A1254&amp;B1254</f>
        <v>3700609010</v>
      </c>
      <c r="D1254" s="13" t="n">
        <v>23606.24</v>
      </c>
    </row>
    <row r="1255" customFormat="false" ht="15.75" hidden="false" customHeight="true" outlineLevel="0" collapsed="false">
      <c r="A1255" s="2" t="s">
        <v>99</v>
      </c>
      <c r="B1255" s="2" t="s">
        <v>39</v>
      </c>
      <c r="C1255" s="1" t="str">
        <f aca="false">A1255&amp;B1255</f>
        <v>3700609012</v>
      </c>
      <c r="D1255" s="13" t="n">
        <v>-0.05</v>
      </c>
    </row>
    <row r="1256" customFormat="false" ht="15.75" hidden="false" customHeight="true" outlineLevel="0" collapsed="false">
      <c r="A1256" s="2" t="s">
        <v>99</v>
      </c>
      <c r="B1256" s="2" t="s">
        <v>175</v>
      </c>
      <c r="C1256" s="1" t="str">
        <f aca="false">A1256&amp;B1256</f>
        <v>3700630000</v>
      </c>
      <c r="D1256" s="13" t="n">
        <v>296209.6</v>
      </c>
    </row>
    <row r="1257" customFormat="false" ht="15.75" hidden="false" customHeight="true" outlineLevel="0" collapsed="false">
      <c r="A1257" s="2" t="s">
        <v>99</v>
      </c>
      <c r="B1257" s="2" t="s">
        <v>176</v>
      </c>
      <c r="C1257" s="1" t="str">
        <f aca="false">A1257&amp;B1257</f>
        <v>3700630001</v>
      </c>
      <c r="D1257" s="13" t="n">
        <v>8613258.69</v>
      </c>
    </row>
    <row r="1258" customFormat="false" ht="15.75" hidden="false" customHeight="true" outlineLevel="0" collapsed="false">
      <c r="A1258" s="2" t="s">
        <v>99</v>
      </c>
      <c r="B1258" s="2" t="s">
        <v>177</v>
      </c>
      <c r="C1258" s="1" t="str">
        <f aca="false">A1258&amp;B1258</f>
        <v>3700630002</v>
      </c>
      <c r="D1258" s="13" t="n">
        <v>237604.07</v>
      </c>
    </row>
    <row r="1259" customFormat="false" ht="15.75" hidden="false" customHeight="true" outlineLevel="0" collapsed="false">
      <c r="A1259" s="2" t="s">
        <v>99</v>
      </c>
      <c r="B1259" s="2" t="s">
        <v>304</v>
      </c>
      <c r="C1259" s="1" t="str">
        <f aca="false">A1259&amp;B1259</f>
        <v>3700630004</v>
      </c>
      <c r="D1259" s="13" t="n">
        <v>5593.65</v>
      </c>
    </row>
    <row r="1260" customFormat="false" ht="15.75" hidden="false" customHeight="true" outlineLevel="0" collapsed="false">
      <c r="A1260" s="2" t="s">
        <v>99</v>
      </c>
      <c r="B1260" s="2" t="s">
        <v>178</v>
      </c>
      <c r="C1260" s="1" t="str">
        <f aca="false">A1260&amp;B1260</f>
        <v>3700630006</v>
      </c>
      <c r="D1260" s="13" t="n">
        <v>1513.69</v>
      </c>
    </row>
    <row r="1261" customFormat="false" ht="15.75" hidden="false" customHeight="true" outlineLevel="0" collapsed="false">
      <c r="A1261" s="2" t="s">
        <v>99</v>
      </c>
      <c r="B1261" s="2" t="s">
        <v>179</v>
      </c>
      <c r="C1261" s="1" t="str">
        <f aca="false">A1261&amp;B1261</f>
        <v>3700640001</v>
      </c>
      <c r="D1261" s="13" t="n">
        <v>121.2</v>
      </c>
    </row>
    <row r="1262" customFormat="false" ht="15.75" hidden="false" customHeight="true" outlineLevel="0" collapsed="false">
      <c r="A1262" s="2" t="s">
        <v>99</v>
      </c>
      <c r="B1262" s="2" t="s">
        <v>180</v>
      </c>
      <c r="C1262" s="1" t="str">
        <f aca="false">A1262&amp;B1262</f>
        <v>3700640100</v>
      </c>
      <c r="D1262" s="13" t="n">
        <v>186516.96</v>
      </c>
    </row>
    <row r="1263" customFormat="false" ht="15.75" hidden="false" customHeight="true" outlineLevel="0" collapsed="false">
      <c r="A1263" s="2" t="s">
        <v>99</v>
      </c>
      <c r="B1263" s="2" t="s">
        <v>181</v>
      </c>
      <c r="C1263" s="1" t="str">
        <f aca="false">A1263&amp;B1263</f>
        <v>3700640900</v>
      </c>
      <c r="D1263" s="13" t="n">
        <v>33298608.63</v>
      </c>
    </row>
    <row r="1264" customFormat="false" ht="15.75" hidden="false" customHeight="true" outlineLevel="0" collapsed="false">
      <c r="A1264" s="2" t="s">
        <v>99</v>
      </c>
      <c r="B1264" s="2" t="s">
        <v>182</v>
      </c>
      <c r="C1264" s="1" t="str">
        <f aca="false">A1264&amp;B1264</f>
        <v>3700690000</v>
      </c>
      <c r="D1264" s="13" t="n">
        <v>-1460</v>
      </c>
    </row>
    <row r="1265" customFormat="false" ht="15.75" hidden="false" customHeight="true" outlineLevel="0" collapsed="false">
      <c r="A1265" s="2" t="s">
        <v>99</v>
      </c>
      <c r="B1265" s="2" t="s">
        <v>20</v>
      </c>
      <c r="C1265" s="1" t="str">
        <f aca="false">A1265&amp;B1265</f>
        <v>3700910001</v>
      </c>
      <c r="D1265" s="13" t="n">
        <v>0</v>
      </c>
    </row>
    <row r="1266" customFormat="false" ht="15.75" hidden="false" customHeight="true" outlineLevel="0" collapsed="false">
      <c r="A1266" s="2" t="s">
        <v>99</v>
      </c>
      <c r="B1266" s="2" t="s">
        <v>34</v>
      </c>
      <c r="C1266" s="1" t="str">
        <f aca="false">A1266&amp;B1266</f>
        <v>3700910002</v>
      </c>
      <c r="D1266" s="13" t="n">
        <v>0</v>
      </c>
    </row>
    <row r="1267" customFormat="false" ht="15.75" hidden="false" customHeight="true" outlineLevel="0" collapsed="false">
      <c r="A1267" s="2" t="s">
        <v>99</v>
      </c>
      <c r="B1267" s="2" t="s">
        <v>18</v>
      </c>
      <c r="C1267" s="1" t="str">
        <f aca="false">A1267&amp;B1267</f>
        <v>3700910003</v>
      </c>
      <c r="D1267" s="13" t="n">
        <v>0</v>
      </c>
    </row>
    <row r="1268" customFormat="false" ht="15.75" hidden="false" customHeight="true" outlineLevel="0" collapsed="false">
      <c r="A1268" s="2" t="s">
        <v>99</v>
      </c>
      <c r="B1268" s="2" t="s">
        <v>35</v>
      </c>
      <c r="C1268" s="1" t="str">
        <f aca="false">A1268&amp;B1268</f>
        <v>3700910004</v>
      </c>
      <c r="D1268" s="13" t="n">
        <v>0</v>
      </c>
    </row>
    <row r="1269" customFormat="false" ht="15.75" hidden="false" customHeight="true" outlineLevel="0" collapsed="false">
      <c r="A1269" s="2" t="s">
        <v>99</v>
      </c>
      <c r="B1269" s="2" t="s">
        <v>183</v>
      </c>
      <c r="C1269" s="1" t="str">
        <f aca="false">A1269&amp;B1269</f>
        <v>3700990000</v>
      </c>
      <c r="D1269" s="13" t="n">
        <v>0</v>
      </c>
    </row>
    <row r="1270" customFormat="false" ht="15.75" hidden="false" customHeight="true" outlineLevel="0" collapsed="false">
      <c r="A1270" s="2" t="s">
        <v>99</v>
      </c>
      <c r="B1270" s="2" t="s">
        <v>184</v>
      </c>
      <c r="C1270" s="1" t="str">
        <f aca="false">A1270&amp;B1270</f>
        <v>3700990002</v>
      </c>
      <c r="D1270" s="13" t="n">
        <v>0</v>
      </c>
    </row>
    <row r="1271" customFormat="false" ht="15.75" hidden="false" customHeight="true" outlineLevel="0" collapsed="false">
      <c r="A1271" s="2" t="s">
        <v>99</v>
      </c>
      <c r="B1271" s="2" t="s">
        <v>185</v>
      </c>
      <c r="C1271" s="1" t="str">
        <f aca="false">A1271&amp;B1271</f>
        <v>3700990003</v>
      </c>
      <c r="D1271" s="13" t="n">
        <v>0</v>
      </c>
    </row>
    <row r="1272" customFormat="false" ht="15.75" hidden="false" customHeight="true" outlineLevel="0" collapsed="false">
      <c r="A1272" s="2" t="s">
        <v>497</v>
      </c>
      <c r="B1272" s="2" t="s">
        <v>137</v>
      </c>
      <c r="C1272" s="1" t="str">
        <f aca="false">A1272&amp;B1272</f>
        <v>3720160200</v>
      </c>
      <c r="D1272" s="13" t="n">
        <v>15550548.11</v>
      </c>
    </row>
    <row r="1273" customFormat="false" ht="15.75" hidden="false" customHeight="true" outlineLevel="0" collapsed="false">
      <c r="A1273" s="2" t="s">
        <v>497</v>
      </c>
      <c r="B1273" s="2" t="s">
        <v>139</v>
      </c>
      <c r="C1273" s="1" t="str">
        <f aca="false">A1273&amp;B1273</f>
        <v>3720160250</v>
      </c>
      <c r="D1273" s="13" t="n">
        <v>-8127805.66</v>
      </c>
    </row>
    <row r="1274" customFormat="false" ht="15.75" hidden="false" customHeight="true" outlineLevel="0" collapsed="false">
      <c r="A1274" s="2" t="s">
        <v>497</v>
      </c>
      <c r="B1274" s="2" t="s">
        <v>123</v>
      </c>
      <c r="C1274" s="1" t="str">
        <f aca="false">A1274&amp;B1274</f>
        <v>3720243000</v>
      </c>
      <c r="D1274" s="13" t="n">
        <v>-15025764.85</v>
      </c>
    </row>
    <row r="1275" customFormat="false" ht="15.75" hidden="false" customHeight="true" outlineLevel="0" collapsed="false">
      <c r="A1275" s="2" t="s">
        <v>497</v>
      </c>
      <c r="B1275" s="2" t="s">
        <v>124</v>
      </c>
      <c r="C1275" s="1" t="str">
        <f aca="false">A1275&amp;B1275</f>
        <v>3720243003</v>
      </c>
      <c r="D1275" s="13" t="n">
        <v>4185740.18</v>
      </c>
    </row>
    <row r="1276" customFormat="false" ht="15.75" hidden="false" customHeight="true" outlineLevel="0" collapsed="false">
      <c r="A1276" s="2" t="s">
        <v>497</v>
      </c>
      <c r="B1276" s="2" t="s">
        <v>125</v>
      </c>
      <c r="C1276" s="1" t="str">
        <f aca="false">A1276&amp;B1276</f>
        <v>3720243005</v>
      </c>
      <c r="D1276" s="13" t="n">
        <v>886782</v>
      </c>
    </row>
    <row r="1277" customFormat="false" ht="15.75" hidden="false" customHeight="true" outlineLevel="0" collapsed="false">
      <c r="A1277" s="2" t="s">
        <v>497</v>
      </c>
      <c r="B1277" s="2" t="s">
        <v>165</v>
      </c>
      <c r="C1277" s="1" t="str">
        <f aca="false">A1277&amp;B1277</f>
        <v>3720280000</v>
      </c>
      <c r="D1277" s="13" t="n">
        <v>49879</v>
      </c>
    </row>
    <row r="1278" customFormat="false" ht="15.75" hidden="false" customHeight="true" outlineLevel="0" collapsed="false">
      <c r="A1278" s="2" t="s">
        <v>497</v>
      </c>
      <c r="B1278" s="2" t="s">
        <v>126</v>
      </c>
      <c r="C1278" s="1" t="str">
        <f aca="false">A1278&amp;B1278</f>
        <v>3720300002</v>
      </c>
      <c r="D1278" s="13" t="n">
        <v>-1</v>
      </c>
    </row>
    <row r="1279" customFormat="false" ht="15.75" hidden="false" customHeight="true" outlineLevel="0" collapsed="false">
      <c r="A1279" s="2" t="s">
        <v>497</v>
      </c>
      <c r="B1279" s="2" t="s">
        <v>127</v>
      </c>
      <c r="C1279" s="1" t="str">
        <f aca="false">A1279&amp;B1279</f>
        <v>3720320000</v>
      </c>
      <c r="D1279" s="13" t="n">
        <v>2480622.22</v>
      </c>
    </row>
    <row r="1280" customFormat="false" ht="15.75" hidden="false" customHeight="true" outlineLevel="0" collapsed="false">
      <c r="A1280" s="2" t="s">
        <v>497</v>
      </c>
      <c r="B1280" s="2" t="s">
        <v>256</v>
      </c>
      <c r="C1280" s="1" t="str">
        <f aca="false">A1280&amp;B1280</f>
        <v>3720502900</v>
      </c>
      <c r="D1280" s="13" t="n">
        <v>-254858.11</v>
      </c>
    </row>
    <row r="1281" customFormat="false" ht="15.75" hidden="false" customHeight="true" outlineLevel="0" collapsed="false">
      <c r="A1281" s="2" t="s">
        <v>497</v>
      </c>
      <c r="B1281" s="2" t="s">
        <v>176</v>
      </c>
      <c r="C1281" s="1" t="str">
        <f aca="false">A1281&amp;B1281</f>
        <v>3720630001</v>
      </c>
      <c r="D1281" s="13" t="n">
        <v>254858.11</v>
      </c>
    </row>
    <row r="1282" customFormat="false" ht="15.75" hidden="false" customHeight="true" outlineLevel="0" collapsed="false">
      <c r="A1282" s="2" t="s">
        <v>497</v>
      </c>
      <c r="B1282" s="2" t="s">
        <v>183</v>
      </c>
      <c r="C1282" s="1" t="str">
        <f aca="false">A1282&amp;B1282</f>
        <v>3720990000</v>
      </c>
      <c r="D1282" s="13" t="n">
        <v>0</v>
      </c>
    </row>
    <row r="1283" customFormat="false" ht="15.75" hidden="false" customHeight="true" outlineLevel="0" collapsed="false">
      <c r="A1283" s="2" t="s">
        <v>100</v>
      </c>
      <c r="B1283" s="2" t="s">
        <v>498</v>
      </c>
      <c r="C1283" s="1" t="str">
        <f aca="false">A1283&amp;B1283</f>
        <v>3800101100</v>
      </c>
      <c r="D1283" s="13" t="n">
        <v>29231.63</v>
      </c>
    </row>
    <row r="1284" customFormat="false" ht="15.75" hidden="false" customHeight="true" outlineLevel="0" collapsed="false">
      <c r="A1284" s="2" t="s">
        <v>100</v>
      </c>
      <c r="B1284" s="2" t="s">
        <v>499</v>
      </c>
      <c r="C1284" s="1" t="str">
        <f aca="false">A1284&amp;B1284</f>
        <v>3800101101</v>
      </c>
      <c r="D1284" s="13" t="n">
        <v>33452.3</v>
      </c>
    </row>
    <row r="1285" customFormat="false" ht="15.75" hidden="false" customHeight="true" outlineLevel="0" collapsed="false">
      <c r="A1285" s="2" t="s">
        <v>100</v>
      </c>
      <c r="B1285" s="2" t="s">
        <v>500</v>
      </c>
      <c r="C1285" s="1" t="str">
        <f aca="false">A1285&amp;B1285</f>
        <v>3800102000</v>
      </c>
      <c r="D1285" s="13" t="n">
        <v>277043.54</v>
      </c>
    </row>
    <row r="1286" customFormat="false" ht="15.75" hidden="false" customHeight="true" outlineLevel="0" collapsed="false">
      <c r="A1286" s="2" t="s">
        <v>100</v>
      </c>
      <c r="B1286" s="2" t="s">
        <v>129</v>
      </c>
      <c r="C1286" s="1" t="str">
        <f aca="false">A1286&amp;B1286</f>
        <v>3800110098</v>
      </c>
      <c r="D1286" s="13" t="n">
        <v>55000</v>
      </c>
    </row>
    <row r="1287" customFormat="false" ht="15.75" hidden="false" customHeight="true" outlineLevel="0" collapsed="false">
      <c r="A1287" s="2" t="s">
        <v>100</v>
      </c>
      <c r="B1287" s="2" t="s">
        <v>312</v>
      </c>
      <c r="C1287" s="1" t="str">
        <f aca="false">A1287&amp;B1287</f>
        <v>3800113090</v>
      </c>
      <c r="D1287" s="13" t="n">
        <v>0</v>
      </c>
    </row>
    <row r="1288" customFormat="false" ht="15.75" hidden="false" customHeight="true" outlineLevel="0" collapsed="false">
      <c r="A1288" s="2" t="s">
        <v>100</v>
      </c>
      <c r="B1288" s="2" t="s">
        <v>143</v>
      </c>
      <c r="C1288" s="1" t="str">
        <f aca="false">A1288&amp;B1288</f>
        <v>3800165200</v>
      </c>
      <c r="D1288" s="13" t="n">
        <v>1201427.98</v>
      </c>
    </row>
    <row r="1289" customFormat="false" ht="15.75" hidden="false" customHeight="true" outlineLevel="0" collapsed="false">
      <c r="A1289" s="2" t="s">
        <v>100</v>
      </c>
      <c r="B1289" s="2" t="s">
        <v>242</v>
      </c>
      <c r="C1289" s="1" t="str">
        <f aca="false">A1289&amp;B1289</f>
        <v>3800165201</v>
      </c>
      <c r="D1289" s="13" t="n">
        <v>1174041.25</v>
      </c>
    </row>
    <row r="1290" customFormat="false" ht="15.75" hidden="false" customHeight="true" outlineLevel="0" collapsed="false">
      <c r="A1290" s="2" t="s">
        <v>100</v>
      </c>
      <c r="B1290" s="2" t="s">
        <v>501</v>
      </c>
      <c r="C1290" s="1" t="str">
        <f aca="false">A1290&amp;B1290</f>
        <v>3800192000</v>
      </c>
      <c r="D1290" s="13" t="n">
        <v>333333.28</v>
      </c>
    </row>
    <row r="1291" customFormat="false" ht="15.75" hidden="false" customHeight="true" outlineLevel="0" collapsed="false">
      <c r="A1291" s="2" t="s">
        <v>100</v>
      </c>
      <c r="B1291" s="2" t="s">
        <v>145</v>
      </c>
      <c r="C1291" s="1" t="str">
        <f aca="false">A1291&amp;B1291</f>
        <v>3800193000</v>
      </c>
      <c r="D1291" s="13" t="n">
        <v>316397</v>
      </c>
    </row>
    <row r="1292" customFormat="false" ht="15.75" hidden="false" customHeight="true" outlineLevel="0" collapsed="false">
      <c r="A1292" s="2" t="s">
        <v>100</v>
      </c>
      <c r="B1292" s="2" t="s">
        <v>147</v>
      </c>
      <c r="C1292" s="1" t="str">
        <f aca="false">A1292&amp;B1292</f>
        <v>3800200004</v>
      </c>
      <c r="D1292" s="13" t="n">
        <v>-24779.77</v>
      </c>
    </row>
    <row r="1293" customFormat="false" ht="15.75" hidden="false" customHeight="true" outlineLevel="0" collapsed="false">
      <c r="A1293" s="2" t="s">
        <v>100</v>
      </c>
      <c r="B1293" s="2" t="s">
        <v>148</v>
      </c>
      <c r="C1293" s="1" t="str">
        <f aca="false">A1293&amp;B1293</f>
        <v>3800200098</v>
      </c>
      <c r="D1293" s="13" t="n">
        <v>-248860.71</v>
      </c>
    </row>
    <row r="1294" customFormat="false" ht="15.75" hidden="false" customHeight="true" outlineLevel="0" collapsed="false">
      <c r="A1294" s="2" t="s">
        <v>100</v>
      </c>
      <c r="B1294" s="2" t="s">
        <v>150</v>
      </c>
      <c r="C1294" s="1" t="str">
        <f aca="false">A1294&amp;B1294</f>
        <v>3800200302</v>
      </c>
      <c r="D1294" s="13" t="n">
        <v>-46883.92</v>
      </c>
    </row>
    <row r="1295" customFormat="false" ht="15.75" hidden="false" customHeight="true" outlineLevel="0" collapsed="false">
      <c r="A1295" s="2" t="s">
        <v>100</v>
      </c>
      <c r="B1295" s="2" t="s">
        <v>155</v>
      </c>
      <c r="C1295" s="1" t="str">
        <f aca="false">A1295&amp;B1295</f>
        <v>3800201302</v>
      </c>
      <c r="D1295" s="13" t="n">
        <v>-202727</v>
      </c>
    </row>
    <row r="1296" customFormat="false" ht="15.75" hidden="false" customHeight="true" outlineLevel="0" collapsed="false">
      <c r="A1296" s="2" t="s">
        <v>100</v>
      </c>
      <c r="B1296" s="2" t="s">
        <v>156</v>
      </c>
      <c r="C1296" s="1" t="str">
        <f aca="false">A1296&amp;B1296</f>
        <v>3800201400</v>
      </c>
      <c r="D1296" s="13" t="n">
        <v>-366818.7</v>
      </c>
    </row>
    <row r="1297" customFormat="false" ht="15.75" hidden="false" customHeight="true" outlineLevel="0" collapsed="false">
      <c r="A1297" s="2" t="s">
        <v>100</v>
      </c>
      <c r="B1297" s="2" t="s">
        <v>157</v>
      </c>
      <c r="C1297" s="1" t="str">
        <f aca="false">A1297&amp;B1297</f>
        <v>3800204020</v>
      </c>
      <c r="D1297" s="13" t="n">
        <v>21581.68</v>
      </c>
    </row>
    <row r="1298" customFormat="false" ht="15.75" hidden="false" customHeight="true" outlineLevel="0" collapsed="false">
      <c r="A1298" s="2" t="s">
        <v>100</v>
      </c>
      <c r="B1298" s="2" t="s">
        <v>192</v>
      </c>
      <c r="C1298" s="1" t="str">
        <f aca="false">A1298&amp;B1298</f>
        <v>3800240000</v>
      </c>
      <c r="D1298" s="13" t="n">
        <v>0</v>
      </c>
    </row>
    <row r="1299" customFormat="false" ht="15.75" hidden="false" customHeight="true" outlineLevel="0" collapsed="false">
      <c r="A1299" s="2" t="s">
        <v>100</v>
      </c>
      <c r="B1299" s="2" t="s">
        <v>283</v>
      </c>
      <c r="C1299" s="1" t="str">
        <f aca="false">A1299&amp;B1299</f>
        <v>3800241100</v>
      </c>
      <c r="D1299" s="13" t="n">
        <v>-168029.32</v>
      </c>
    </row>
    <row r="1300" customFormat="false" ht="15.75" hidden="false" customHeight="true" outlineLevel="0" collapsed="false">
      <c r="A1300" s="2" t="s">
        <v>100</v>
      </c>
      <c r="B1300" s="2" t="s">
        <v>123</v>
      </c>
      <c r="C1300" s="1" t="str">
        <f aca="false">A1300&amp;B1300</f>
        <v>3800243000</v>
      </c>
      <c r="D1300" s="13" t="n">
        <v>-6518241.88</v>
      </c>
    </row>
    <row r="1301" customFormat="false" ht="15.75" hidden="false" customHeight="true" outlineLevel="0" collapsed="false">
      <c r="A1301" s="2" t="s">
        <v>100</v>
      </c>
      <c r="B1301" s="2" t="s">
        <v>124</v>
      </c>
      <c r="C1301" s="1" t="str">
        <f aca="false">A1301&amp;B1301</f>
        <v>3800243003</v>
      </c>
      <c r="D1301" s="13" t="n">
        <v>636507.13</v>
      </c>
    </row>
    <row r="1302" customFormat="false" ht="15.75" hidden="false" customHeight="true" outlineLevel="0" collapsed="false">
      <c r="A1302" s="2" t="s">
        <v>100</v>
      </c>
      <c r="B1302" s="2" t="s">
        <v>125</v>
      </c>
      <c r="C1302" s="1" t="str">
        <f aca="false">A1302&amp;B1302</f>
        <v>3800243005</v>
      </c>
      <c r="D1302" s="13" t="n">
        <v>453298</v>
      </c>
    </row>
    <row r="1303" customFormat="false" ht="15.75" hidden="false" customHeight="true" outlineLevel="0" collapsed="false">
      <c r="A1303" s="2" t="s">
        <v>100</v>
      </c>
      <c r="B1303" s="2" t="s">
        <v>161</v>
      </c>
      <c r="C1303" s="1" t="str">
        <f aca="false">A1303&amp;B1303</f>
        <v>3800243006</v>
      </c>
      <c r="D1303" s="13" t="n">
        <v>0</v>
      </c>
    </row>
    <row r="1304" customFormat="false" ht="15.75" hidden="false" customHeight="true" outlineLevel="0" collapsed="false">
      <c r="A1304" s="2" t="s">
        <v>100</v>
      </c>
      <c r="B1304" s="2" t="s">
        <v>126</v>
      </c>
      <c r="C1304" s="1" t="str">
        <f aca="false">A1304&amp;B1304</f>
        <v>3800300002</v>
      </c>
      <c r="D1304" s="13" t="n">
        <v>-2</v>
      </c>
    </row>
    <row r="1305" customFormat="false" ht="15.75" hidden="false" customHeight="true" outlineLevel="0" collapsed="false">
      <c r="A1305" s="2" t="s">
        <v>100</v>
      </c>
      <c r="B1305" s="2" t="s">
        <v>127</v>
      </c>
      <c r="C1305" s="1" t="str">
        <f aca="false">A1305&amp;B1305</f>
        <v>3800320000</v>
      </c>
      <c r="D1305" s="13" t="n">
        <v>1504465.77</v>
      </c>
    </row>
    <row r="1306" customFormat="false" ht="15.75" hidden="false" customHeight="true" outlineLevel="0" collapsed="false">
      <c r="A1306" s="2" t="s">
        <v>100</v>
      </c>
      <c r="B1306" s="2" t="s">
        <v>223</v>
      </c>
      <c r="C1306" s="1" t="str">
        <f aca="false">A1306&amp;B1306</f>
        <v>3800511000</v>
      </c>
      <c r="D1306" s="13" t="n">
        <v>-4651.14</v>
      </c>
    </row>
    <row r="1307" customFormat="false" ht="15.75" hidden="false" customHeight="true" outlineLevel="0" collapsed="false">
      <c r="A1307" s="2" t="s">
        <v>100</v>
      </c>
      <c r="B1307" s="2" t="s">
        <v>168</v>
      </c>
      <c r="C1307" s="1" t="str">
        <f aca="false">A1307&amp;B1307</f>
        <v>3800514001</v>
      </c>
      <c r="D1307" s="13" t="n">
        <v>-481970.68</v>
      </c>
    </row>
    <row r="1308" customFormat="false" ht="15.75" hidden="false" customHeight="true" outlineLevel="0" collapsed="false">
      <c r="A1308" s="2" t="s">
        <v>100</v>
      </c>
      <c r="B1308" s="2" t="s">
        <v>15</v>
      </c>
      <c r="C1308" s="1" t="str">
        <f aca="false">A1308&amp;B1308</f>
        <v>3800602070</v>
      </c>
      <c r="D1308" s="13" t="n">
        <v>496363</v>
      </c>
    </row>
    <row r="1309" customFormat="false" ht="15.75" hidden="false" customHeight="true" outlineLevel="0" collapsed="false">
      <c r="A1309" s="2" t="s">
        <v>100</v>
      </c>
      <c r="B1309" s="2" t="s">
        <v>78</v>
      </c>
      <c r="C1309" s="1" t="str">
        <f aca="false">A1309&amp;B1309</f>
        <v>3800604000</v>
      </c>
      <c r="D1309" s="13" t="n">
        <v>0</v>
      </c>
    </row>
    <row r="1310" customFormat="false" ht="15.75" hidden="false" customHeight="true" outlineLevel="0" collapsed="false">
      <c r="A1310" s="2" t="s">
        <v>100</v>
      </c>
      <c r="B1310" s="2" t="s">
        <v>22</v>
      </c>
      <c r="C1310" s="1" t="str">
        <f aca="false">A1310&amp;B1310</f>
        <v>3800604010</v>
      </c>
      <c r="D1310" s="13" t="n">
        <v>621658.39</v>
      </c>
    </row>
    <row r="1311" customFormat="false" ht="15.75" hidden="false" customHeight="true" outlineLevel="0" collapsed="false">
      <c r="A1311" s="2" t="s">
        <v>100</v>
      </c>
      <c r="B1311" s="2" t="s">
        <v>33</v>
      </c>
      <c r="C1311" s="1" t="str">
        <f aca="false">A1311&amp;B1311</f>
        <v>3800604031</v>
      </c>
      <c r="D1311" s="13" t="n">
        <v>264702.42</v>
      </c>
    </row>
    <row r="1312" customFormat="false" ht="15.75" hidden="false" customHeight="true" outlineLevel="0" collapsed="false">
      <c r="A1312" s="2" t="s">
        <v>100</v>
      </c>
      <c r="B1312" s="2" t="s">
        <v>19</v>
      </c>
      <c r="C1312" s="1" t="str">
        <f aca="false">A1312&amp;B1312</f>
        <v>3800604040</v>
      </c>
      <c r="D1312" s="13" t="n">
        <v>778948.46</v>
      </c>
    </row>
    <row r="1313" customFormat="false" ht="15.75" hidden="false" customHeight="true" outlineLevel="0" collapsed="false">
      <c r="A1313" s="2" t="s">
        <v>100</v>
      </c>
      <c r="B1313" s="2" t="s">
        <v>53</v>
      </c>
      <c r="C1313" s="1" t="str">
        <f aca="false">A1313&amp;B1313</f>
        <v>3800605020</v>
      </c>
      <c r="D1313" s="13" t="n">
        <v>0</v>
      </c>
    </row>
    <row r="1314" customFormat="false" ht="15.75" hidden="false" customHeight="true" outlineLevel="0" collapsed="false">
      <c r="A1314" s="2" t="s">
        <v>100</v>
      </c>
      <c r="B1314" s="2" t="s">
        <v>31</v>
      </c>
      <c r="C1314" s="1" t="str">
        <f aca="false">A1314&amp;B1314</f>
        <v>3800607000</v>
      </c>
      <c r="D1314" s="13" t="n">
        <v>-18000</v>
      </c>
    </row>
    <row r="1315" customFormat="false" ht="15.75" hidden="false" customHeight="true" outlineLevel="0" collapsed="false">
      <c r="A1315" s="2" t="s">
        <v>100</v>
      </c>
      <c r="B1315" s="2" t="s">
        <v>23</v>
      </c>
      <c r="C1315" s="1" t="str">
        <f aca="false">A1315&amp;B1315</f>
        <v>3800608020</v>
      </c>
      <c r="D1315" s="13" t="n">
        <v>0</v>
      </c>
    </row>
    <row r="1316" customFormat="false" ht="15.75" hidden="false" customHeight="true" outlineLevel="0" collapsed="false">
      <c r="A1316" s="2" t="s">
        <v>100</v>
      </c>
      <c r="B1316" s="2" t="s">
        <v>60</v>
      </c>
      <c r="C1316" s="1" t="str">
        <f aca="false">A1316&amp;B1316</f>
        <v>3800608040</v>
      </c>
      <c r="D1316" s="13" t="n">
        <v>518.18</v>
      </c>
    </row>
    <row r="1317" customFormat="false" ht="15.75" hidden="false" customHeight="true" outlineLevel="0" collapsed="false">
      <c r="A1317" s="2" t="s">
        <v>100</v>
      </c>
      <c r="B1317" s="2" t="s">
        <v>27</v>
      </c>
      <c r="C1317" s="1" t="str">
        <f aca="false">A1317&amp;B1317</f>
        <v>3800609002</v>
      </c>
      <c r="D1317" s="13" t="n">
        <v>1498.05</v>
      </c>
    </row>
    <row r="1318" customFormat="false" ht="15.75" hidden="false" customHeight="true" outlineLevel="0" collapsed="false">
      <c r="A1318" s="2" t="s">
        <v>100</v>
      </c>
      <c r="B1318" s="2" t="s">
        <v>28</v>
      </c>
      <c r="C1318" s="1" t="str">
        <f aca="false">A1318&amp;B1318</f>
        <v>3800609003</v>
      </c>
      <c r="D1318" s="13" t="n">
        <v>1495</v>
      </c>
    </row>
    <row r="1319" customFormat="false" ht="15.75" hidden="false" customHeight="true" outlineLevel="0" collapsed="false">
      <c r="A1319" s="2" t="s">
        <v>100</v>
      </c>
      <c r="B1319" s="2" t="s">
        <v>24</v>
      </c>
      <c r="C1319" s="1" t="str">
        <f aca="false">A1319&amp;B1319</f>
        <v>3800609004</v>
      </c>
      <c r="D1319" s="13" t="n">
        <v>24436.87</v>
      </c>
    </row>
    <row r="1320" customFormat="false" ht="15.75" hidden="false" customHeight="true" outlineLevel="0" collapsed="false">
      <c r="A1320" s="2" t="s">
        <v>100</v>
      </c>
      <c r="B1320" s="2" t="s">
        <v>26</v>
      </c>
      <c r="C1320" s="1" t="str">
        <f aca="false">A1320&amp;B1320</f>
        <v>3800609006</v>
      </c>
      <c r="D1320" s="13" t="n">
        <v>20134.91</v>
      </c>
    </row>
    <row r="1321" customFormat="false" ht="15.75" hidden="false" customHeight="true" outlineLevel="0" collapsed="false">
      <c r="A1321" s="2" t="s">
        <v>100</v>
      </c>
      <c r="B1321" s="2" t="s">
        <v>37</v>
      </c>
      <c r="C1321" s="1" t="str">
        <f aca="false">A1321&amp;B1321</f>
        <v>3800609008</v>
      </c>
      <c r="D1321" s="13" t="n">
        <v>123.69</v>
      </c>
    </row>
    <row r="1322" customFormat="false" ht="15.75" hidden="false" customHeight="true" outlineLevel="0" collapsed="false">
      <c r="A1322" s="2" t="s">
        <v>100</v>
      </c>
      <c r="B1322" s="2" t="s">
        <v>30</v>
      </c>
      <c r="C1322" s="1" t="str">
        <f aca="false">A1322&amp;B1322</f>
        <v>3800609010</v>
      </c>
      <c r="D1322" s="13" t="n">
        <v>330.59</v>
      </c>
    </row>
    <row r="1323" customFormat="false" ht="15.75" hidden="false" customHeight="true" outlineLevel="0" collapsed="false">
      <c r="A1323" s="2" t="s">
        <v>100</v>
      </c>
      <c r="B1323" s="2" t="s">
        <v>182</v>
      </c>
      <c r="C1323" s="1" t="str">
        <f aca="false">A1323&amp;B1323</f>
        <v>3800690000</v>
      </c>
      <c r="D1323" s="13" t="n">
        <v>-165024</v>
      </c>
    </row>
    <row r="1324" customFormat="false" ht="15.75" hidden="false" customHeight="true" outlineLevel="0" collapsed="false">
      <c r="A1324" s="2" t="s">
        <v>100</v>
      </c>
      <c r="B1324" s="2" t="s">
        <v>20</v>
      </c>
      <c r="C1324" s="1" t="str">
        <f aca="false">A1324&amp;B1324</f>
        <v>3800910001</v>
      </c>
      <c r="D1324" s="13" t="n">
        <v>0</v>
      </c>
    </row>
    <row r="1325" customFormat="false" ht="15.75" hidden="false" customHeight="true" outlineLevel="0" collapsed="false">
      <c r="A1325" s="2" t="s">
        <v>100</v>
      </c>
      <c r="B1325" s="2" t="s">
        <v>34</v>
      </c>
      <c r="C1325" s="1" t="str">
        <f aca="false">A1325&amp;B1325</f>
        <v>3800910002</v>
      </c>
      <c r="D1325" s="13" t="n">
        <v>0</v>
      </c>
    </row>
    <row r="1326" customFormat="false" ht="15.75" hidden="false" customHeight="true" outlineLevel="0" collapsed="false">
      <c r="A1326" s="2" t="s">
        <v>100</v>
      </c>
      <c r="B1326" s="2" t="s">
        <v>18</v>
      </c>
      <c r="C1326" s="1" t="str">
        <f aca="false">A1326&amp;B1326</f>
        <v>3800910003</v>
      </c>
      <c r="D1326" s="13" t="n">
        <v>0</v>
      </c>
    </row>
    <row r="1327" customFormat="false" ht="15.75" hidden="false" customHeight="true" outlineLevel="0" collapsed="false">
      <c r="A1327" s="2" t="s">
        <v>100</v>
      </c>
      <c r="B1327" s="2" t="s">
        <v>35</v>
      </c>
      <c r="C1327" s="1" t="str">
        <f aca="false">A1327&amp;B1327</f>
        <v>3800910004</v>
      </c>
      <c r="D1327" s="13" t="n">
        <v>0</v>
      </c>
    </row>
    <row r="1328" customFormat="false" ht="15.75" hidden="false" customHeight="true" outlineLevel="0" collapsed="false">
      <c r="A1328" s="2" t="s">
        <v>100</v>
      </c>
      <c r="B1328" s="2" t="s">
        <v>183</v>
      </c>
      <c r="C1328" s="1" t="str">
        <f aca="false">A1328&amp;B1328</f>
        <v>3800990000</v>
      </c>
      <c r="D1328" s="13" t="n">
        <v>0</v>
      </c>
    </row>
    <row r="1329" customFormat="false" ht="15.75" hidden="false" customHeight="true" outlineLevel="0" collapsed="false">
      <c r="A1329" s="2" t="s">
        <v>100</v>
      </c>
      <c r="B1329" s="2" t="s">
        <v>184</v>
      </c>
      <c r="C1329" s="1" t="str">
        <f aca="false">A1329&amp;B1329</f>
        <v>3800990002</v>
      </c>
      <c r="D1329" s="13" t="n">
        <v>0</v>
      </c>
    </row>
    <row r="1330" customFormat="false" ht="15.75" hidden="false" customHeight="true" outlineLevel="0" collapsed="false">
      <c r="A1330" s="2" t="s">
        <v>101</v>
      </c>
      <c r="B1330" s="2" t="s">
        <v>502</v>
      </c>
      <c r="C1330" s="1" t="str">
        <f aca="false">A1330&amp;B1330</f>
        <v>3900101340</v>
      </c>
      <c r="D1330" s="13" t="n">
        <v>83330.92</v>
      </c>
    </row>
    <row r="1331" customFormat="false" ht="15.75" hidden="false" customHeight="true" outlineLevel="0" collapsed="false">
      <c r="A1331" s="2" t="s">
        <v>101</v>
      </c>
      <c r="B1331" s="2" t="s">
        <v>210</v>
      </c>
      <c r="C1331" s="1" t="str">
        <f aca="false">A1331&amp;B1331</f>
        <v>3900105000</v>
      </c>
      <c r="D1331" s="13" t="n">
        <v>37642.04</v>
      </c>
    </row>
    <row r="1332" customFormat="false" ht="15.75" hidden="false" customHeight="true" outlineLevel="0" collapsed="false">
      <c r="A1332" s="2" t="s">
        <v>101</v>
      </c>
      <c r="B1332" s="2" t="s">
        <v>309</v>
      </c>
      <c r="C1332" s="1" t="str">
        <f aca="false">A1332&amp;B1332</f>
        <v>3900110051</v>
      </c>
      <c r="D1332" s="13" t="n">
        <v>18764.69</v>
      </c>
    </row>
    <row r="1333" customFormat="false" ht="15.75" hidden="false" customHeight="true" outlineLevel="0" collapsed="false">
      <c r="A1333" s="2" t="s">
        <v>101</v>
      </c>
      <c r="B1333" s="2" t="s">
        <v>129</v>
      </c>
      <c r="C1333" s="1" t="str">
        <f aca="false">A1333&amp;B1333</f>
        <v>3900110098</v>
      </c>
      <c r="D1333" s="13" t="n">
        <v>0</v>
      </c>
    </row>
    <row r="1334" customFormat="false" ht="15.75" hidden="false" customHeight="true" outlineLevel="0" collapsed="false">
      <c r="A1334" s="2" t="s">
        <v>101</v>
      </c>
      <c r="B1334" s="2" t="s">
        <v>130</v>
      </c>
      <c r="C1334" s="1" t="str">
        <f aca="false">A1334&amp;B1334</f>
        <v>3900113000</v>
      </c>
      <c r="D1334" s="13" t="n">
        <v>23877588.33</v>
      </c>
    </row>
    <row r="1335" customFormat="false" ht="15.75" hidden="false" customHeight="true" outlineLevel="0" collapsed="false">
      <c r="A1335" s="2" t="s">
        <v>101</v>
      </c>
      <c r="B1335" s="2" t="s">
        <v>131</v>
      </c>
      <c r="C1335" s="1" t="str">
        <f aca="false">A1335&amp;B1335</f>
        <v>3900120000</v>
      </c>
      <c r="D1335" s="13" t="n">
        <v>5549944.25</v>
      </c>
    </row>
    <row r="1336" customFormat="false" ht="15.75" hidden="false" customHeight="true" outlineLevel="0" collapsed="false">
      <c r="A1336" s="2" t="s">
        <v>101</v>
      </c>
      <c r="B1336" s="2" t="s">
        <v>133</v>
      </c>
      <c r="C1336" s="1" t="str">
        <f aca="false">A1336&amp;B1336</f>
        <v>3900140002</v>
      </c>
      <c r="D1336" s="13" t="n">
        <v>84715.73</v>
      </c>
    </row>
    <row r="1337" customFormat="false" ht="15.75" hidden="false" customHeight="true" outlineLevel="0" collapsed="false">
      <c r="A1337" s="2" t="s">
        <v>101</v>
      </c>
      <c r="B1337" s="2" t="s">
        <v>134</v>
      </c>
      <c r="C1337" s="1" t="str">
        <f aca="false">A1337&amp;B1337</f>
        <v>3900160000</v>
      </c>
      <c r="D1337" s="13" t="n">
        <v>10873346.6</v>
      </c>
    </row>
    <row r="1338" customFormat="false" ht="15.75" hidden="false" customHeight="true" outlineLevel="0" collapsed="false">
      <c r="A1338" s="2" t="s">
        <v>101</v>
      </c>
      <c r="B1338" s="2" t="s">
        <v>135</v>
      </c>
      <c r="C1338" s="1" t="str">
        <f aca="false">A1338&amp;B1338</f>
        <v>3900160100</v>
      </c>
      <c r="D1338" s="13" t="n">
        <v>21950862.11</v>
      </c>
    </row>
    <row r="1339" customFormat="false" ht="15.75" hidden="false" customHeight="true" outlineLevel="0" collapsed="false">
      <c r="A1339" s="2" t="s">
        <v>101</v>
      </c>
      <c r="B1339" s="2" t="s">
        <v>136</v>
      </c>
      <c r="C1339" s="1" t="str">
        <f aca="false">A1339&amp;B1339</f>
        <v>3900160150</v>
      </c>
      <c r="D1339" s="13" t="n">
        <v>-10914405.5</v>
      </c>
    </row>
    <row r="1340" customFormat="false" ht="15.75" hidden="false" customHeight="true" outlineLevel="0" collapsed="false">
      <c r="A1340" s="2" t="s">
        <v>101</v>
      </c>
      <c r="B1340" s="2" t="s">
        <v>137</v>
      </c>
      <c r="C1340" s="1" t="str">
        <f aca="false">A1340&amp;B1340</f>
        <v>3900160200</v>
      </c>
      <c r="D1340" s="13" t="n">
        <v>162975239.32</v>
      </c>
    </row>
    <row r="1341" customFormat="false" ht="15.75" hidden="false" customHeight="true" outlineLevel="0" collapsed="false">
      <c r="A1341" s="2" t="s">
        <v>101</v>
      </c>
      <c r="B1341" s="2" t="s">
        <v>138</v>
      </c>
      <c r="C1341" s="1" t="str">
        <f aca="false">A1341&amp;B1341</f>
        <v>3900160201</v>
      </c>
      <c r="D1341" s="13" t="n">
        <v>4462270.18</v>
      </c>
    </row>
    <row r="1342" customFormat="false" ht="15.75" hidden="false" customHeight="true" outlineLevel="0" collapsed="false">
      <c r="A1342" s="2" t="s">
        <v>101</v>
      </c>
      <c r="B1342" s="2" t="s">
        <v>139</v>
      </c>
      <c r="C1342" s="1" t="str">
        <f aca="false">A1342&amp;B1342</f>
        <v>3900160250</v>
      </c>
      <c r="D1342" s="13" t="n">
        <v>-88110131.03</v>
      </c>
    </row>
    <row r="1343" customFormat="false" ht="15.75" hidden="false" customHeight="true" outlineLevel="0" collapsed="false">
      <c r="A1343" s="2" t="s">
        <v>101</v>
      </c>
      <c r="B1343" s="2" t="s">
        <v>140</v>
      </c>
      <c r="C1343" s="1" t="str">
        <f aca="false">A1343&amp;B1343</f>
        <v>3900160251</v>
      </c>
      <c r="D1343" s="13" t="n">
        <v>-3904687.22</v>
      </c>
    </row>
    <row r="1344" customFormat="false" ht="15.75" hidden="false" customHeight="true" outlineLevel="0" collapsed="false">
      <c r="A1344" s="2" t="s">
        <v>101</v>
      </c>
      <c r="B1344" s="2" t="s">
        <v>299</v>
      </c>
      <c r="C1344" s="1" t="str">
        <f aca="false">A1344&amp;B1344</f>
        <v>3900160300</v>
      </c>
      <c r="D1344" s="13" t="n">
        <v>995189.1</v>
      </c>
    </row>
    <row r="1345" customFormat="false" ht="15.75" hidden="false" customHeight="true" outlineLevel="0" collapsed="false">
      <c r="A1345" s="2" t="s">
        <v>101</v>
      </c>
      <c r="B1345" s="2" t="s">
        <v>141</v>
      </c>
      <c r="C1345" s="1" t="str">
        <f aca="false">A1345&amp;B1345</f>
        <v>3900160302</v>
      </c>
      <c r="D1345" s="13" t="n">
        <v>81969.53</v>
      </c>
    </row>
    <row r="1346" customFormat="false" ht="15.75" hidden="false" customHeight="true" outlineLevel="0" collapsed="false">
      <c r="A1346" s="2" t="s">
        <v>101</v>
      </c>
      <c r="B1346" s="2" t="s">
        <v>300</v>
      </c>
      <c r="C1346" s="1" t="str">
        <f aca="false">A1346&amp;B1346</f>
        <v>3900160350</v>
      </c>
      <c r="D1346" s="13" t="n">
        <v>-119326.87</v>
      </c>
    </row>
    <row r="1347" customFormat="false" ht="15.75" hidden="false" customHeight="true" outlineLevel="0" collapsed="false">
      <c r="A1347" s="2" t="s">
        <v>101</v>
      </c>
      <c r="B1347" s="2" t="s">
        <v>142</v>
      </c>
      <c r="C1347" s="1" t="str">
        <f aca="false">A1347&amp;B1347</f>
        <v>3900160352</v>
      </c>
      <c r="D1347" s="13" t="n">
        <v>-6830.8</v>
      </c>
    </row>
    <row r="1348" customFormat="false" ht="15.75" hidden="false" customHeight="true" outlineLevel="0" collapsed="false">
      <c r="A1348" s="2" t="s">
        <v>101</v>
      </c>
      <c r="B1348" s="2" t="s">
        <v>143</v>
      </c>
      <c r="C1348" s="1" t="str">
        <f aca="false">A1348&amp;B1348</f>
        <v>3900165200</v>
      </c>
      <c r="D1348" s="13" t="n">
        <v>3513893.37</v>
      </c>
    </row>
    <row r="1349" customFormat="false" ht="15.75" hidden="false" customHeight="true" outlineLevel="0" collapsed="false">
      <c r="A1349" s="2" t="s">
        <v>101</v>
      </c>
      <c r="B1349" s="2" t="s">
        <v>243</v>
      </c>
      <c r="C1349" s="1" t="str">
        <f aca="false">A1349&amp;B1349</f>
        <v>3900170200</v>
      </c>
      <c r="D1349" s="13" t="n">
        <v>1603264.72</v>
      </c>
    </row>
    <row r="1350" customFormat="false" ht="15.75" hidden="false" customHeight="true" outlineLevel="0" collapsed="false">
      <c r="A1350" s="2" t="s">
        <v>101</v>
      </c>
      <c r="B1350" s="2" t="s">
        <v>244</v>
      </c>
      <c r="C1350" s="1" t="str">
        <f aca="false">A1350&amp;B1350</f>
        <v>3900170250</v>
      </c>
      <c r="D1350" s="13" t="n">
        <v>-1603583.4</v>
      </c>
    </row>
    <row r="1351" customFormat="false" ht="15.75" hidden="false" customHeight="true" outlineLevel="0" collapsed="false">
      <c r="A1351" s="2" t="s">
        <v>101</v>
      </c>
      <c r="B1351" s="2" t="s">
        <v>145</v>
      </c>
      <c r="C1351" s="1" t="str">
        <f aca="false">A1351&amp;B1351</f>
        <v>3900193000</v>
      </c>
      <c r="D1351" s="13" t="n">
        <v>13551761</v>
      </c>
    </row>
    <row r="1352" customFormat="false" ht="15.75" hidden="false" customHeight="true" outlineLevel="0" collapsed="false">
      <c r="A1352" s="2" t="s">
        <v>101</v>
      </c>
      <c r="B1352" s="2" t="s">
        <v>274</v>
      </c>
      <c r="C1352" s="1" t="str">
        <f aca="false">A1352&amp;B1352</f>
        <v>3900194000</v>
      </c>
      <c r="D1352" s="13" t="n">
        <v>0</v>
      </c>
    </row>
    <row r="1353" customFormat="false" ht="15.75" hidden="false" customHeight="true" outlineLevel="0" collapsed="false">
      <c r="A1353" s="2" t="s">
        <v>101</v>
      </c>
      <c r="B1353" s="2" t="s">
        <v>147</v>
      </c>
      <c r="C1353" s="1" t="str">
        <f aca="false">A1353&amp;B1353</f>
        <v>3900200004</v>
      </c>
      <c r="D1353" s="13" t="n">
        <v>0</v>
      </c>
    </row>
    <row r="1354" customFormat="false" ht="15.75" hidden="false" customHeight="true" outlineLevel="0" collapsed="false">
      <c r="A1354" s="2" t="s">
        <v>101</v>
      </c>
      <c r="B1354" s="2" t="s">
        <v>317</v>
      </c>
      <c r="C1354" s="1" t="str">
        <f aca="false">A1354&amp;B1354</f>
        <v>3900200006</v>
      </c>
      <c r="D1354" s="13" t="n">
        <v>-1230003.29</v>
      </c>
    </row>
    <row r="1355" customFormat="false" ht="15.75" hidden="false" customHeight="true" outlineLevel="0" collapsed="false">
      <c r="A1355" s="2" t="s">
        <v>101</v>
      </c>
      <c r="B1355" s="2" t="s">
        <v>148</v>
      </c>
      <c r="C1355" s="1" t="str">
        <f aca="false">A1355&amp;B1355</f>
        <v>3900200098</v>
      </c>
      <c r="D1355" s="13" t="n">
        <v>0</v>
      </c>
    </row>
    <row r="1356" customFormat="false" ht="15.75" hidden="false" customHeight="true" outlineLevel="0" collapsed="false">
      <c r="A1356" s="2" t="s">
        <v>101</v>
      </c>
      <c r="B1356" s="2" t="s">
        <v>247</v>
      </c>
      <c r="C1356" s="1" t="str">
        <f aca="false">A1356&amp;B1356</f>
        <v>3900200203</v>
      </c>
      <c r="D1356" s="13" t="n">
        <v>-87989.48</v>
      </c>
    </row>
    <row r="1357" customFormat="false" ht="15.75" hidden="false" customHeight="true" outlineLevel="0" collapsed="false">
      <c r="A1357" s="2" t="s">
        <v>101</v>
      </c>
      <c r="B1357" s="2" t="s">
        <v>149</v>
      </c>
      <c r="C1357" s="1" t="str">
        <f aca="false">A1357&amp;B1357</f>
        <v>3900200208</v>
      </c>
      <c r="D1357" s="13" t="n">
        <v>-49986.62</v>
      </c>
    </row>
    <row r="1358" customFormat="false" ht="15.75" hidden="false" customHeight="true" outlineLevel="0" collapsed="false">
      <c r="A1358" s="2" t="s">
        <v>101</v>
      </c>
      <c r="B1358" s="2" t="s">
        <v>150</v>
      </c>
      <c r="C1358" s="1" t="str">
        <f aca="false">A1358&amp;B1358</f>
        <v>3900200302</v>
      </c>
      <c r="D1358" s="13" t="n">
        <v>-46277.44</v>
      </c>
    </row>
    <row r="1359" customFormat="false" ht="15.75" hidden="false" customHeight="true" outlineLevel="0" collapsed="false">
      <c r="A1359" s="2" t="s">
        <v>101</v>
      </c>
      <c r="B1359" s="2" t="s">
        <v>154</v>
      </c>
      <c r="C1359" s="1" t="str">
        <f aca="false">A1359&amp;B1359</f>
        <v>3900201300</v>
      </c>
      <c r="D1359" s="13" t="n">
        <v>-11225.89</v>
      </c>
    </row>
    <row r="1360" customFormat="false" ht="15.75" hidden="false" customHeight="true" outlineLevel="0" collapsed="false">
      <c r="A1360" s="2" t="s">
        <v>101</v>
      </c>
      <c r="B1360" s="2" t="s">
        <v>302</v>
      </c>
      <c r="C1360" s="1" t="str">
        <f aca="false">A1360&amp;B1360</f>
        <v>3900201301</v>
      </c>
      <c r="D1360" s="13" t="n">
        <v>-31223</v>
      </c>
    </row>
    <row r="1361" customFormat="false" ht="15.75" hidden="false" customHeight="true" outlineLevel="0" collapsed="false">
      <c r="A1361" s="2" t="s">
        <v>101</v>
      </c>
      <c r="B1361" s="2" t="s">
        <v>155</v>
      </c>
      <c r="C1361" s="1" t="str">
        <f aca="false">A1361&amp;B1361</f>
        <v>3900201302</v>
      </c>
      <c r="D1361" s="13" t="n">
        <v>-1338107.75</v>
      </c>
    </row>
    <row r="1362" customFormat="false" ht="15.75" hidden="false" customHeight="true" outlineLevel="0" collapsed="false">
      <c r="A1362" s="2" t="s">
        <v>101</v>
      </c>
      <c r="B1362" s="2" t="s">
        <v>253</v>
      </c>
      <c r="C1362" s="1" t="str">
        <f aca="false">A1362&amp;B1362</f>
        <v>3900201500</v>
      </c>
      <c r="D1362" s="13" t="n">
        <v>2621.93</v>
      </c>
    </row>
    <row r="1363" customFormat="false" ht="15.75" hidden="false" customHeight="true" outlineLevel="0" collapsed="false">
      <c r="A1363" s="2" t="s">
        <v>101</v>
      </c>
      <c r="B1363" s="2" t="s">
        <v>157</v>
      </c>
      <c r="C1363" s="1" t="str">
        <f aca="false">A1363&amp;B1363</f>
        <v>3900204020</v>
      </c>
      <c r="D1363" s="13" t="n">
        <v>-1678913.88</v>
      </c>
    </row>
    <row r="1364" customFormat="false" ht="15.75" hidden="false" customHeight="true" outlineLevel="0" collapsed="false">
      <c r="A1364" s="2" t="s">
        <v>101</v>
      </c>
      <c r="B1364" s="2" t="s">
        <v>158</v>
      </c>
      <c r="C1364" s="1" t="str">
        <f aca="false">A1364&amp;B1364</f>
        <v>3900210000</v>
      </c>
      <c r="D1364" s="13" t="n">
        <v>-2844947.23</v>
      </c>
    </row>
    <row r="1365" customFormat="false" ht="15.75" hidden="false" customHeight="true" outlineLevel="0" collapsed="false">
      <c r="A1365" s="2" t="s">
        <v>101</v>
      </c>
      <c r="B1365" s="2" t="s">
        <v>159</v>
      </c>
      <c r="C1365" s="1" t="str">
        <f aca="false">A1365&amp;B1365</f>
        <v>3900210002</v>
      </c>
      <c r="D1365" s="13" t="n">
        <v>-2479626.48</v>
      </c>
    </row>
    <row r="1366" customFormat="false" ht="15.75" hidden="false" customHeight="true" outlineLevel="0" collapsed="false">
      <c r="A1366" s="2" t="s">
        <v>101</v>
      </c>
      <c r="B1366" s="2" t="s">
        <v>160</v>
      </c>
      <c r="C1366" s="1" t="str">
        <f aca="false">A1366&amp;B1366</f>
        <v>3900220001</v>
      </c>
      <c r="D1366" s="13" t="n">
        <v>6374.64</v>
      </c>
    </row>
    <row r="1367" customFormat="false" ht="15.75" hidden="false" customHeight="true" outlineLevel="0" collapsed="false">
      <c r="A1367" s="2" t="s">
        <v>101</v>
      </c>
      <c r="B1367" s="2" t="s">
        <v>123</v>
      </c>
      <c r="C1367" s="1" t="str">
        <f aca="false">A1367&amp;B1367</f>
        <v>3900243000</v>
      </c>
      <c r="D1367" s="13" t="n">
        <v>103018337.69</v>
      </c>
    </row>
    <row r="1368" customFormat="false" ht="15.75" hidden="false" customHeight="true" outlineLevel="0" collapsed="false">
      <c r="A1368" s="2" t="s">
        <v>101</v>
      </c>
      <c r="B1368" s="2" t="s">
        <v>124</v>
      </c>
      <c r="C1368" s="1" t="str">
        <f aca="false">A1368&amp;B1368</f>
        <v>3900243003</v>
      </c>
      <c r="D1368" s="13" t="n">
        <v>-35052756.49</v>
      </c>
    </row>
    <row r="1369" customFormat="false" ht="15.75" hidden="false" customHeight="true" outlineLevel="0" collapsed="false">
      <c r="A1369" s="2" t="s">
        <v>101</v>
      </c>
      <c r="B1369" s="2" t="s">
        <v>125</v>
      </c>
      <c r="C1369" s="1" t="str">
        <f aca="false">A1369&amp;B1369</f>
        <v>3900243005</v>
      </c>
      <c r="D1369" s="13" t="n">
        <v>-19224110</v>
      </c>
    </row>
    <row r="1370" customFormat="false" ht="15.75" hidden="false" customHeight="true" outlineLevel="0" collapsed="false">
      <c r="A1370" s="2" t="s">
        <v>101</v>
      </c>
      <c r="B1370" s="2" t="s">
        <v>161</v>
      </c>
      <c r="C1370" s="1" t="str">
        <f aca="false">A1370&amp;B1370</f>
        <v>3900243006</v>
      </c>
      <c r="D1370" s="13" t="n">
        <v>0</v>
      </c>
    </row>
    <row r="1371" customFormat="false" ht="15.75" hidden="false" customHeight="true" outlineLevel="0" collapsed="false">
      <c r="A1371" s="2" t="s">
        <v>101</v>
      </c>
      <c r="B1371" s="2" t="s">
        <v>162</v>
      </c>
      <c r="C1371" s="1" t="str">
        <f aca="false">A1371&amp;B1371</f>
        <v>3900250000</v>
      </c>
      <c r="D1371" s="13" t="n">
        <v>-2000.1</v>
      </c>
    </row>
    <row r="1372" customFormat="false" ht="15.75" hidden="false" customHeight="true" outlineLevel="0" collapsed="false">
      <c r="A1372" s="2" t="s">
        <v>101</v>
      </c>
      <c r="B1372" s="2" t="s">
        <v>163</v>
      </c>
      <c r="C1372" s="1" t="str">
        <f aca="false">A1372&amp;B1372</f>
        <v>3900250100</v>
      </c>
      <c r="D1372" s="13" t="n">
        <v>-31058269.69</v>
      </c>
    </row>
    <row r="1373" customFormat="false" ht="15.75" hidden="false" customHeight="true" outlineLevel="0" collapsed="false">
      <c r="A1373" s="2" t="s">
        <v>101</v>
      </c>
      <c r="B1373" s="2" t="s">
        <v>164</v>
      </c>
      <c r="C1373" s="1" t="str">
        <f aca="false">A1373&amp;B1373</f>
        <v>3900260003</v>
      </c>
      <c r="D1373" s="13" t="n">
        <v>-81969.53</v>
      </c>
    </row>
    <row r="1374" customFormat="false" ht="15.75" hidden="false" customHeight="true" outlineLevel="0" collapsed="false">
      <c r="A1374" s="2" t="s">
        <v>101</v>
      </c>
      <c r="B1374" s="2" t="s">
        <v>165</v>
      </c>
      <c r="C1374" s="1" t="str">
        <f aca="false">A1374&amp;B1374</f>
        <v>3900280000</v>
      </c>
      <c r="D1374" s="13" t="n">
        <v>15787591</v>
      </c>
    </row>
    <row r="1375" customFormat="false" ht="15.75" hidden="false" customHeight="true" outlineLevel="0" collapsed="false">
      <c r="A1375" s="2" t="s">
        <v>101</v>
      </c>
      <c r="B1375" s="2" t="s">
        <v>503</v>
      </c>
      <c r="C1375" s="1" t="str">
        <f aca="false">A1375&amp;B1375</f>
        <v>3900290000</v>
      </c>
      <c r="D1375" s="13" t="n">
        <v>-1255000</v>
      </c>
    </row>
    <row r="1376" customFormat="false" ht="15.75" hidden="false" customHeight="true" outlineLevel="0" collapsed="false">
      <c r="A1376" s="2" t="s">
        <v>101</v>
      </c>
      <c r="B1376" s="2" t="s">
        <v>126</v>
      </c>
      <c r="C1376" s="1" t="str">
        <f aca="false">A1376&amp;B1376</f>
        <v>3900300002</v>
      </c>
      <c r="D1376" s="13" t="n">
        <v>-55436450</v>
      </c>
    </row>
    <row r="1377" customFormat="false" ht="15.75" hidden="false" customHeight="true" outlineLevel="0" collapsed="false">
      <c r="A1377" s="2" t="s">
        <v>101</v>
      </c>
      <c r="B1377" s="2" t="s">
        <v>127</v>
      </c>
      <c r="C1377" s="1" t="str">
        <f aca="false">A1377&amp;B1377</f>
        <v>3900320000</v>
      </c>
      <c r="D1377" s="13" t="n">
        <v>-13317974.2</v>
      </c>
    </row>
    <row r="1378" customFormat="false" ht="15.75" hidden="false" customHeight="true" outlineLevel="0" collapsed="false">
      <c r="A1378" s="2" t="s">
        <v>101</v>
      </c>
      <c r="B1378" s="2" t="s">
        <v>284</v>
      </c>
      <c r="C1378" s="1" t="str">
        <f aca="false">A1378&amp;B1378</f>
        <v>3900320001</v>
      </c>
      <c r="D1378" s="13" t="n">
        <v>-7000</v>
      </c>
    </row>
    <row r="1379" customFormat="false" ht="15.75" hidden="false" customHeight="true" outlineLevel="0" collapsed="false">
      <c r="A1379" s="2" t="s">
        <v>101</v>
      </c>
      <c r="B1379" s="2" t="s">
        <v>200</v>
      </c>
      <c r="C1379" s="1" t="str">
        <f aca="false">A1379&amp;B1379</f>
        <v>3900320002</v>
      </c>
      <c r="D1379" s="13" t="n">
        <v>113400</v>
      </c>
    </row>
    <row r="1380" customFormat="false" ht="15.75" hidden="false" customHeight="true" outlineLevel="0" collapsed="false">
      <c r="A1380" s="2" t="s">
        <v>101</v>
      </c>
      <c r="B1380" s="2" t="s">
        <v>166</v>
      </c>
      <c r="C1380" s="1" t="str">
        <f aca="false">A1380&amp;B1380</f>
        <v>3900501200</v>
      </c>
      <c r="D1380" s="13" t="n">
        <v>-215504697.92</v>
      </c>
    </row>
    <row r="1381" customFormat="false" ht="15.75" hidden="false" customHeight="true" outlineLevel="0" collapsed="false">
      <c r="A1381" s="2" t="s">
        <v>101</v>
      </c>
      <c r="B1381" s="2" t="s">
        <v>167</v>
      </c>
      <c r="C1381" s="1" t="str">
        <f aca="false">A1381&amp;B1381</f>
        <v>3900501202</v>
      </c>
      <c r="D1381" s="13" t="n">
        <v>672401.33</v>
      </c>
    </row>
    <row r="1382" customFormat="false" ht="15.75" hidden="false" customHeight="true" outlineLevel="0" collapsed="false">
      <c r="A1382" s="2" t="s">
        <v>101</v>
      </c>
      <c r="B1382" s="2" t="s">
        <v>223</v>
      </c>
      <c r="C1382" s="1" t="str">
        <f aca="false">A1382&amp;B1382</f>
        <v>3900511000</v>
      </c>
      <c r="D1382" s="13" t="n">
        <v>-8284.54</v>
      </c>
    </row>
    <row r="1383" customFormat="false" ht="15.75" hidden="false" customHeight="true" outlineLevel="0" collapsed="false">
      <c r="A1383" s="2" t="s">
        <v>101</v>
      </c>
      <c r="B1383" s="2" t="s">
        <v>168</v>
      </c>
      <c r="C1383" s="1" t="str">
        <f aca="false">A1383&amp;B1383</f>
        <v>3900514001</v>
      </c>
      <c r="D1383" s="13" t="n">
        <v>-2338327.75</v>
      </c>
    </row>
    <row r="1384" customFormat="false" ht="15.75" hidden="false" customHeight="true" outlineLevel="0" collapsed="false">
      <c r="A1384" s="2" t="s">
        <v>101</v>
      </c>
      <c r="B1384" s="2" t="s">
        <v>290</v>
      </c>
      <c r="C1384" s="1" t="str">
        <f aca="false">A1384&amp;B1384</f>
        <v>3900601105</v>
      </c>
      <c r="D1384" s="13" t="n">
        <v>4605.02</v>
      </c>
    </row>
    <row r="1385" customFormat="false" ht="15.75" hidden="false" customHeight="true" outlineLevel="0" collapsed="false">
      <c r="A1385" s="2" t="s">
        <v>101</v>
      </c>
      <c r="B1385" s="2" t="s">
        <v>169</v>
      </c>
      <c r="C1385" s="1" t="str">
        <f aca="false">A1385&amp;B1385</f>
        <v>3900601107</v>
      </c>
      <c r="D1385" s="13" t="n">
        <v>228118.22</v>
      </c>
    </row>
    <row r="1386" customFormat="false" ht="15.75" hidden="false" customHeight="true" outlineLevel="0" collapsed="false">
      <c r="A1386" s="2" t="s">
        <v>101</v>
      </c>
      <c r="B1386" s="2" t="s">
        <v>170</v>
      </c>
      <c r="C1386" s="1" t="str">
        <f aca="false">A1386&amp;B1386</f>
        <v>3900601111</v>
      </c>
      <c r="D1386" s="13" t="n">
        <v>721325.48</v>
      </c>
    </row>
    <row r="1387" customFormat="false" ht="15.75" hidden="false" customHeight="true" outlineLevel="0" collapsed="false">
      <c r="A1387" s="2" t="s">
        <v>101</v>
      </c>
      <c r="B1387" s="2" t="s">
        <v>171</v>
      </c>
      <c r="C1387" s="1" t="str">
        <f aca="false">A1387&amp;B1387</f>
        <v>3900601113</v>
      </c>
      <c r="D1387" s="13" t="n">
        <v>-113253.81</v>
      </c>
    </row>
    <row r="1388" customFormat="false" ht="15.75" hidden="false" customHeight="true" outlineLevel="0" collapsed="false">
      <c r="A1388" s="2" t="s">
        <v>101</v>
      </c>
      <c r="B1388" s="2" t="s">
        <v>173</v>
      </c>
      <c r="C1388" s="1" t="str">
        <f aca="false">A1388&amp;B1388</f>
        <v>3900601300</v>
      </c>
      <c r="D1388" s="13" t="n">
        <v>100568466.8</v>
      </c>
    </row>
    <row r="1389" customFormat="false" ht="15.75" hidden="false" customHeight="true" outlineLevel="0" collapsed="false">
      <c r="A1389" s="2" t="s">
        <v>101</v>
      </c>
      <c r="B1389" s="2" t="s">
        <v>8</v>
      </c>
      <c r="C1389" s="1" t="str">
        <f aca="false">A1389&amp;B1389</f>
        <v>3900602000</v>
      </c>
      <c r="D1389" s="13" t="n">
        <v>4921806.75</v>
      </c>
    </row>
    <row r="1390" customFormat="false" ht="15.75" hidden="false" customHeight="true" outlineLevel="0" collapsed="false">
      <c r="A1390" s="2" t="s">
        <v>101</v>
      </c>
      <c r="B1390" s="2" t="s">
        <v>9</v>
      </c>
      <c r="C1390" s="1" t="str">
        <f aca="false">A1390&amp;B1390</f>
        <v>3900602003</v>
      </c>
      <c r="D1390" s="13" t="n">
        <v>1028.67</v>
      </c>
    </row>
    <row r="1391" customFormat="false" ht="15.75" hidden="false" customHeight="true" outlineLevel="0" collapsed="false">
      <c r="A1391" s="2" t="s">
        <v>101</v>
      </c>
      <c r="B1391" s="2" t="s">
        <v>12</v>
      </c>
      <c r="C1391" s="1" t="str">
        <f aca="false">A1391&amp;B1391</f>
        <v>3900602010</v>
      </c>
      <c r="D1391" s="13" t="n">
        <v>22661.64</v>
      </c>
    </row>
    <row r="1392" customFormat="false" ht="15.75" hidden="false" customHeight="true" outlineLevel="0" collapsed="false">
      <c r="A1392" s="2" t="s">
        <v>101</v>
      </c>
      <c r="B1392" s="2" t="s">
        <v>14</v>
      </c>
      <c r="C1392" s="1" t="str">
        <f aca="false">A1392&amp;B1392</f>
        <v>3900602030</v>
      </c>
      <c r="D1392" s="13" t="n">
        <v>1874.78</v>
      </c>
    </row>
    <row r="1393" customFormat="false" ht="15.75" hidden="false" customHeight="true" outlineLevel="0" collapsed="false">
      <c r="A1393" s="2" t="s">
        <v>101</v>
      </c>
      <c r="B1393" s="2" t="s">
        <v>42</v>
      </c>
      <c r="C1393" s="1" t="str">
        <f aca="false">A1393&amp;B1393</f>
        <v>3900602040</v>
      </c>
      <c r="D1393" s="13" t="n">
        <v>142026.34</v>
      </c>
    </row>
    <row r="1394" customFormat="false" ht="15.75" hidden="false" customHeight="true" outlineLevel="0" collapsed="false">
      <c r="A1394" s="2" t="s">
        <v>101</v>
      </c>
      <c r="B1394" s="2" t="s">
        <v>16</v>
      </c>
      <c r="C1394" s="1" t="str">
        <f aca="false">A1394&amp;B1394</f>
        <v>3900602072</v>
      </c>
      <c r="D1394" s="13" t="n">
        <v>311875.52</v>
      </c>
    </row>
    <row r="1395" customFormat="false" ht="15.75" hidden="false" customHeight="true" outlineLevel="0" collapsed="false">
      <c r="A1395" s="2" t="s">
        <v>101</v>
      </c>
      <c r="B1395" s="2" t="s">
        <v>46</v>
      </c>
      <c r="C1395" s="1" t="str">
        <f aca="false">A1395&amp;B1395</f>
        <v>3900602073</v>
      </c>
      <c r="D1395" s="13" t="n">
        <v>-22.08</v>
      </c>
    </row>
    <row r="1396" customFormat="false" ht="15.75" hidden="false" customHeight="true" outlineLevel="0" collapsed="false">
      <c r="A1396" s="2" t="s">
        <v>101</v>
      </c>
      <c r="B1396" s="2" t="s">
        <v>17</v>
      </c>
      <c r="C1396" s="1" t="str">
        <f aca="false">A1396&amp;B1396</f>
        <v>3900603000</v>
      </c>
      <c r="D1396" s="13" t="n">
        <v>635024.27</v>
      </c>
    </row>
    <row r="1397" customFormat="false" ht="15.75" hidden="false" customHeight="true" outlineLevel="0" collapsed="false">
      <c r="A1397" s="2" t="s">
        <v>101</v>
      </c>
      <c r="B1397" s="2" t="s">
        <v>71</v>
      </c>
      <c r="C1397" s="1" t="str">
        <f aca="false">A1397&amp;B1397</f>
        <v>3900603001</v>
      </c>
      <c r="D1397" s="13" t="n">
        <v>70300</v>
      </c>
    </row>
    <row r="1398" customFormat="false" ht="15.75" hidden="false" customHeight="true" outlineLevel="0" collapsed="false">
      <c r="A1398" s="2" t="s">
        <v>101</v>
      </c>
      <c r="B1398" s="2" t="s">
        <v>102</v>
      </c>
      <c r="C1398" s="1" t="str">
        <f aca="false">A1398&amp;B1398</f>
        <v>3900604001</v>
      </c>
      <c r="D1398" s="13" t="n">
        <v>60718.33</v>
      </c>
    </row>
    <row r="1399" customFormat="false" ht="15.75" hidden="false" customHeight="true" outlineLevel="0" collapsed="false">
      <c r="A1399" s="2" t="s">
        <v>101</v>
      </c>
      <c r="B1399" s="2" t="s">
        <v>33</v>
      </c>
      <c r="C1399" s="1" t="str">
        <f aca="false">A1399&amp;B1399</f>
        <v>3900604031</v>
      </c>
      <c r="D1399" s="13" t="n">
        <v>0</v>
      </c>
    </row>
    <row r="1400" customFormat="false" ht="15.75" hidden="false" customHeight="true" outlineLevel="0" collapsed="false">
      <c r="A1400" s="2" t="s">
        <v>101</v>
      </c>
      <c r="B1400" s="2" t="s">
        <v>19</v>
      </c>
      <c r="C1400" s="1" t="str">
        <f aca="false">A1400&amp;B1400</f>
        <v>3900604040</v>
      </c>
      <c r="D1400" s="13" t="n">
        <v>383369.14</v>
      </c>
    </row>
    <row r="1401" customFormat="false" ht="15.75" hidden="false" customHeight="true" outlineLevel="0" collapsed="false">
      <c r="A1401" s="2" t="s">
        <v>101</v>
      </c>
      <c r="B1401" s="2" t="s">
        <v>50</v>
      </c>
      <c r="C1401" s="1" t="str">
        <f aca="false">A1401&amp;B1401</f>
        <v>3900604060</v>
      </c>
      <c r="D1401" s="13" t="n">
        <v>201745.14</v>
      </c>
    </row>
    <row r="1402" customFormat="false" ht="15.75" hidden="false" customHeight="true" outlineLevel="0" collapsed="false">
      <c r="A1402" s="2" t="s">
        <v>101</v>
      </c>
      <c r="B1402" s="2" t="s">
        <v>31</v>
      </c>
      <c r="C1402" s="1" t="str">
        <f aca="false">A1402&amp;B1402</f>
        <v>3900607000</v>
      </c>
      <c r="D1402" s="13" t="n">
        <v>144674.84</v>
      </c>
    </row>
    <row r="1403" customFormat="false" ht="15.75" hidden="false" customHeight="true" outlineLevel="0" collapsed="false">
      <c r="A1403" s="2" t="s">
        <v>101</v>
      </c>
      <c r="B1403" s="2" t="s">
        <v>32</v>
      </c>
      <c r="C1403" s="1" t="str">
        <f aca="false">A1403&amp;B1403</f>
        <v>3900607010</v>
      </c>
      <c r="D1403" s="13" t="n">
        <v>3314579.81</v>
      </c>
    </row>
    <row r="1404" customFormat="false" ht="15.75" hidden="false" customHeight="true" outlineLevel="0" collapsed="false">
      <c r="A1404" s="2" t="s">
        <v>101</v>
      </c>
      <c r="B1404" s="2" t="s">
        <v>61</v>
      </c>
      <c r="C1404" s="1" t="str">
        <f aca="false">A1404&amp;B1404</f>
        <v>3900608000</v>
      </c>
      <c r="D1404" s="13" t="n">
        <v>35637.58</v>
      </c>
    </row>
    <row r="1405" customFormat="false" ht="15.75" hidden="false" customHeight="true" outlineLevel="0" collapsed="false">
      <c r="A1405" s="2" t="s">
        <v>101</v>
      </c>
      <c r="B1405" s="2" t="s">
        <v>23</v>
      </c>
      <c r="C1405" s="1" t="str">
        <f aca="false">A1405&amp;B1405</f>
        <v>3900608020</v>
      </c>
      <c r="D1405" s="13" t="n">
        <v>97183.32</v>
      </c>
    </row>
    <row r="1406" customFormat="false" ht="15.75" hidden="false" customHeight="true" outlineLevel="0" collapsed="false">
      <c r="A1406" s="2" t="s">
        <v>101</v>
      </c>
      <c r="B1406" s="2" t="s">
        <v>27</v>
      </c>
      <c r="C1406" s="1" t="str">
        <f aca="false">A1406&amp;B1406</f>
        <v>3900609002</v>
      </c>
      <c r="D1406" s="13" t="n">
        <v>196316.6</v>
      </c>
    </row>
    <row r="1407" customFormat="false" ht="15.75" hidden="false" customHeight="true" outlineLevel="0" collapsed="false">
      <c r="A1407" s="2" t="s">
        <v>101</v>
      </c>
      <c r="B1407" s="2" t="s">
        <v>28</v>
      </c>
      <c r="C1407" s="1" t="str">
        <f aca="false">A1407&amp;B1407</f>
        <v>3900609003</v>
      </c>
      <c r="D1407" s="13" t="n">
        <v>21434.27</v>
      </c>
    </row>
    <row r="1408" customFormat="false" ht="15.75" hidden="false" customHeight="true" outlineLevel="0" collapsed="false">
      <c r="A1408" s="2" t="s">
        <v>101</v>
      </c>
      <c r="B1408" s="2" t="s">
        <v>24</v>
      </c>
      <c r="C1408" s="1" t="str">
        <f aca="false">A1408&amp;B1408</f>
        <v>3900609004</v>
      </c>
      <c r="D1408" s="13" t="n">
        <v>5211.07</v>
      </c>
    </row>
    <row r="1409" customFormat="false" ht="15.75" hidden="false" customHeight="true" outlineLevel="0" collapsed="false">
      <c r="A1409" s="2" t="s">
        <v>101</v>
      </c>
      <c r="B1409" s="2" t="s">
        <v>25</v>
      </c>
      <c r="C1409" s="1" t="str">
        <f aca="false">A1409&amp;B1409</f>
        <v>3900609005</v>
      </c>
      <c r="D1409" s="13" t="n">
        <v>21957.8</v>
      </c>
    </row>
    <row r="1410" customFormat="false" ht="15.75" hidden="false" customHeight="true" outlineLevel="0" collapsed="false">
      <c r="A1410" s="2" t="s">
        <v>101</v>
      </c>
      <c r="B1410" s="2" t="s">
        <v>26</v>
      </c>
      <c r="C1410" s="1" t="str">
        <f aca="false">A1410&amp;B1410</f>
        <v>3900609006</v>
      </c>
      <c r="D1410" s="13" t="n">
        <v>594316.66</v>
      </c>
    </row>
    <row r="1411" customFormat="false" ht="15.75" hidden="false" customHeight="true" outlineLevel="0" collapsed="false">
      <c r="A1411" s="2" t="s">
        <v>101</v>
      </c>
      <c r="B1411" s="2" t="s">
        <v>80</v>
      </c>
      <c r="C1411" s="1" t="str">
        <f aca="false">A1411&amp;B1411</f>
        <v>3900609007</v>
      </c>
      <c r="D1411" s="13" t="n">
        <v>483302.12</v>
      </c>
    </row>
    <row r="1412" customFormat="false" ht="15.75" hidden="false" customHeight="true" outlineLevel="0" collapsed="false">
      <c r="A1412" s="2" t="s">
        <v>101</v>
      </c>
      <c r="B1412" s="2" t="s">
        <v>37</v>
      </c>
      <c r="C1412" s="1" t="str">
        <f aca="false">A1412&amp;B1412</f>
        <v>3900609008</v>
      </c>
      <c r="D1412" s="13" t="n">
        <v>4549.86</v>
      </c>
    </row>
    <row r="1413" customFormat="false" ht="15.75" hidden="false" customHeight="true" outlineLevel="0" collapsed="false">
      <c r="A1413" s="2" t="s">
        <v>101</v>
      </c>
      <c r="B1413" s="2" t="s">
        <v>29</v>
      </c>
      <c r="C1413" s="1" t="str">
        <f aca="false">A1413&amp;B1413</f>
        <v>3900609009</v>
      </c>
      <c r="D1413" s="13" t="n">
        <v>1190.38</v>
      </c>
    </row>
    <row r="1414" customFormat="false" ht="15.75" hidden="false" customHeight="true" outlineLevel="0" collapsed="false">
      <c r="A1414" s="2" t="s">
        <v>101</v>
      </c>
      <c r="B1414" s="2" t="s">
        <v>30</v>
      </c>
      <c r="C1414" s="1" t="str">
        <f aca="false">A1414&amp;B1414</f>
        <v>3900609010</v>
      </c>
      <c r="D1414" s="13" t="n">
        <v>7087.54</v>
      </c>
    </row>
    <row r="1415" customFormat="false" ht="15.75" hidden="false" customHeight="true" outlineLevel="0" collapsed="false">
      <c r="A1415" s="2" t="s">
        <v>101</v>
      </c>
      <c r="B1415" s="2" t="s">
        <v>175</v>
      </c>
      <c r="C1415" s="1" t="str">
        <f aca="false">A1415&amp;B1415</f>
        <v>3900630000</v>
      </c>
      <c r="D1415" s="13" t="n">
        <v>366950.59</v>
      </c>
    </row>
    <row r="1416" customFormat="false" ht="15.75" hidden="false" customHeight="true" outlineLevel="0" collapsed="false">
      <c r="A1416" s="2" t="s">
        <v>101</v>
      </c>
      <c r="B1416" s="2" t="s">
        <v>176</v>
      </c>
      <c r="C1416" s="1" t="str">
        <f aca="false">A1416&amp;B1416</f>
        <v>3900630001</v>
      </c>
      <c r="D1416" s="13" t="n">
        <v>4157001.67</v>
      </c>
    </row>
    <row r="1417" customFormat="false" ht="15.75" hidden="false" customHeight="true" outlineLevel="0" collapsed="false">
      <c r="A1417" s="2" t="s">
        <v>101</v>
      </c>
      <c r="B1417" s="2" t="s">
        <v>177</v>
      </c>
      <c r="C1417" s="1" t="str">
        <f aca="false">A1417&amp;B1417</f>
        <v>3900630002</v>
      </c>
      <c r="D1417" s="13" t="n">
        <v>104616.76</v>
      </c>
    </row>
    <row r="1418" customFormat="false" ht="15.75" hidden="false" customHeight="true" outlineLevel="0" collapsed="false">
      <c r="A1418" s="2" t="s">
        <v>101</v>
      </c>
      <c r="B1418" s="2" t="s">
        <v>304</v>
      </c>
      <c r="C1418" s="1" t="str">
        <f aca="false">A1418&amp;B1418</f>
        <v>3900630004</v>
      </c>
      <c r="D1418" s="13" t="n">
        <v>51419.24</v>
      </c>
    </row>
    <row r="1419" customFormat="false" ht="15.75" hidden="false" customHeight="true" outlineLevel="0" collapsed="false">
      <c r="A1419" s="2" t="s">
        <v>101</v>
      </c>
      <c r="B1419" s="2" t="s">
        <v>178</v>
      </c>
      <c r="C1419" s="1" t="str">
        <f aca="false">A1419&amp;B1419</f>
        <v>3900630006</v>
      </c>
      <c r="D1419" s="13" t="n">
        <v>6830.8</v>
      </c>
    </row>
    <row r="1420" customFormat="false" ht="15.75" hidden="false" customHeight="true" outlineLevel="0" collapsed="false">
      <c r="A1420" s="2" t="s">
        <v>101</v>
      </c>
      <c r="B1420" s="2" t="s">
        <v>179</v>
      </c>
      <c r="C1420" s="1" t="str">
        <f aca="false">A1420&amp;B1420</f>
        <v>3900640001</v>
      </c>
      <c r="D1420" s="13" t="n">
        <v>986.06</v>
      </c>
    </row>
    <row r="1421" customFormat="false" ht="15.75" hidden="false" customHeight="true" outlineLevel="0" collapsed="false">
      <c r="A1421" s="2" t="s">
        <v>101</v>
      </c>
      <c r="B1421" s="2" t="s">
        <v>180</v>
      </c>
      <c r="C1421" s="1" t="str">
        <f aca="false">A1421&amp;B1421</f>
        <v>3900640100</v>
      </c>
      <c r="D1421" s="13" t="n">
        <v>591955.98</v>
      </c>
    </row>
    <row r="1422" customFormat="false" ht="15.75" hidden="false" customHeight="true" outlineLevel="0" collapsed="false">
      <c r="A1422" s="2" t="s">
        <v>101</v>
      </c>
      <c r="B1422" s="2" t="s">
        <v>181</v>
      </c>
      <c r="C1422" s="1" t="str">
        <f aca="false">A1422&amp;B1422</f>
        <v>3900640900</v>
      </c>
      <c r="D1422" s="13" t="n">
        <v>115183.46</v>
      </c>
    </row>
    <row r="1423" customFormat="false" ht="15.75" hidden="false" customHeight="true" outlineLevel="0" collapsed="false">
      <c r="A1423" s="2" t="s">
        <v>101</v>
      </c>
      <c r="B1423" s="2" t="s">
        <v>182</v>
      </c>
      <c r="C1423" s="1" t="str">
        <f aca="false">A1423&amp;B1423</f>
        <v>3900690000</v>
      </c>
      <c r="D1423" s="13" t="n">
        <v>-459</v>
      </c>
    </row>
    <row r="1424" customFormat="false" ht="15.75" hidden="false" customHeight="true" outlineLevel="0" collapsed="false">
      <c r="A1424" s="2" t="s">
        <v>101</v>
      </c>
      <c r="B1424" s="2" t="s">
        <v>34</v>
      </c>
      <c r="C1424" s="1" t="str">
        <f aca="false">A1424&amp;B1424</f>
        <v>3900910002</v>
      </c>
      <c r="D1424" s="13" t="n">
        <v>0</v>
      </c>
    </row>
    <row r="1425" customFormat="false" ht="15.75" hidden="false" customHeight="true" outlineLevel="0" collapsed="false">
      <c r="A1425" s="2" t="s">
        <v>101</v>
      </c>
      <c r="B1425" s="2" t="s">
        <v>183</v>
      </c>
      <c r="C1425" s="1" t="str">
        <f aca="false">A1425&amp;B1425</f>
        <v>3900990000</v>
      </c>
      <c r="D1425" s="13" t="n">
        <v>0</v>
      </c>
    </row>
    <row r="1426" customFormat="false" ht="15.75" hidden="false" customHeight="true" outlineLevel="0" collapsed="false">
      <c r="A1426" s="2" t="s">
        <v>101</v>
      </c>
      <c r="B1426" s="2" t="s">
        <v>184</v>
      </c>
      <c r="C1426" s="1" t="str">
        <f aca="false">A1426&amp;B1426</f>
        <v>3900990002</v>
      </c>
      <c r="D1426" s="13" t="n">
        <v>0</v>
      </c>
    </row>
    <row r="1427" customFormat="false" ht="15.75" hidden="false" customHeight="true" outlineLevel="0" collapsed="false">
      <c r="A1427" s="2" t="s">
        <v>101</v>
      </c>
      <c r="B1427" s="2" t="s">
        <v>185</v>
      </c>
      <c r="C1427" s="1" t="str">
        <f aca="false">A1427&amp;B1427</f>
        <v>3900990003</v>
      </c>
      <c r="D1427" s="13" t="n">
        <v>0</v>
      </c>
    </row>
    <row r="1428" customFormat="false" ht="15.75" hidden="false" customHeight="true" outlineLevel="0" collapsed="false">
      <c r="A1428" s="2" t="s">
        <v>504</v>
      </c>
      <c r="B1428" s="2" t="s">
        <v>123</v>
      </c>
      <c r="C1428" s="1" t="str">
        <f aca="false">A1428&amp;B1428</f>
        <v>4100243000</v>
      </c>
      <c r="D1428" s="13" t="n">
        <v>2</v>
      </c>
    </row>
    <row r="1429" customFormat="false" ht="15.75" hidden="false" customHeight="true" outlineLevel="0" collapsed="false">
      <c r="A1429" s="2" t="s">
        <v>504</v>
      </c>
      <c r="B1429" s="2" t="s">
        <v>126</v>
      </c>
      <c r="C1429" s="1" t="str">
        <f aca="false">A1429&amp;B1429</f>
        <v>4100300002</v>
      </c>
      <c r="D1429" s="13" t="n">
        <v>-2</v>
      </c>
    </row>
    <row r="1430" customFormat="false" ht="15.75" hidden="false" customHeight="true" outlineLevel="0" collapsed="false">
      <c r="A1430" s="2" t="s">
        <v>505</v>
      </c>
      <c r="B1430" s="2" t="s">
        <v>157</v>
      </c>
      <c r="C1430" s="1" t="str">
        <f aca="false">A1430&amp;B1430</f>
        <v>5000204020</v>
      </c>
      <c r="D1430" s="13" t="n">
        <v>0</v>
      </c>
    </row>
    <row r="1431" customFormat="false" ht="15.75" hidden="false" customHeight="true" outlineLevel="0" collapsed="false">
      <c r="A1431" s="2" t="s">
        <v>505</v>
      </c>
      <c r="B1431" s="2" t="s">
        <v>123</v>
      </c>
      <c r="C1431" s="1" t="str">
        <f aca="false">A1431&amp;B1431</f>
        <v>5000243000</v>
      </c>
      <c r="D1431" s="13" t="n">
        <v>-6211540.4</v>
      </c>
    </row>
    <row r="1432" customFormat="false" ht="15.75" hidden="false" customHeight="true" outlineLevel="0" collapsed="false">
      <c r="A1432" s="2" t="s">
        <v>505</v>
      </c>
      <c r="B1432" s="2" t="s">
        <v>124</v>
      </c>
      <c r="C1432" s="1" t="str">
        <f aca="false">A1432&amp;B1432</f>
        <v>5000243003</v>
      </c>
      <c r="D1432" s="13" t="n">
        <v>-1119199.78</v>
      </c>
    </row>
    <row r="1433" customFormat="false" ht="15.75" hidden="false" customHeight="true" outlineLevel="0" collapsed="false">
      <c r="A1433" s="2" t="s">
        <v>505</v>
      </c>
      <c r="B1433" s="2" t="s">
        <v>125</v>
      </c>
      <c r="C1433" s="1" t="str">
        <f aca="false">A1433&amp;B1433</f>
        <v>5000243005</v>
      </c>
      <c r="D1433" s="13" t="n">
        <v>2246637</v>
      </c>
    </row>
    <row r="1434" customFormat="false" ht="15.75" hidden="false" customHeight="true" outlineLevel="0" collapsed="false">
      <c r="A1434" s="2" t="s">
        <v>505</v>
      </c>
      <c r="B1434" s="2" t="s">
        <v>165</v>
      </c>
      <c r="C1434" s="1" t="str">
        <f aca="false">A1434&amp;B1434</f>
        <v>5000280000</v>
      </c>
      <c r="D1434" s="13" t="n">
        <v>1</v>
      </c>
    </row>
    <row r="1435" customFormat="false" ht="15.75" hidden="false" customHeight="true" outlineLevel="0" collapsed="false">
      <c r="A1435" s="2" t="s">
        <v>505</v>
      </c>
      <c r="B1435" s="2" t="s">
        <v>126</v>
      </c>
      <c r="C1435" s="1" t="str">
        <f aca="false">A1435&amp;B1435</f>
        <v>5000300002</v>
      </c>
      <c r="D1435" s="13" t="n">
        <v>-2</v>
      </c>
    </row>
    <row r="1436" customFormat="false" ht="15.75" hidden="false" customHeight="true" outlineLevel="0" collapsed="false">
      <c r="A1436" s="2" t="s">
        <v>505</v>
      </c>
      <c r="B1436" s="2" t="s">
        <v>127</v>
      </c>
      <c r="C1436" s="1" t="str">
        <f aca="false">A1436&amp;B1436</f>
        <v>5000320000</v>
      </c>
      <c r="D1436" s="13" t="n">
        <v>5084104.18</v>
      </c>
    </row>
    <row r="1437" customFormat="false" ht="15.75" hidden="false" customHeight="true" outlineLevel="0" collapsed="false">
      <c r="A1437" s="2" t="s">
        <v>506</v>
      </c>
      <c r="B1437" s="2" t="s">
        <v>188</v>
      </c>
      <c r="C1437" s="1" t="str">
        <f aca="false">A1437&amp;B1437</f>
        <v>5100191000</v>
      </c>
      <c r="D1437" s="13" t="n">
        <v>304315002</v>
      </c>
    </row>
    <row r="1438" customFormat="false" ht="15.75" hidden="false" customHeight="true" outlineLevel="0" collapsed="false">
      <c r="A1438" s="2" t="s">
        <v>506</v>
      </c>
      <c r="B1438" s="2" t="s">
        <v>126</v>
      </c>
      <c r="C1438" s="1" t="str">
        <f aca="false">A1438&amp;B1438</f>
        <v>5100300002</v>
      </c>
      <c r="D1438" s="13" t="n">
        <v>-304315002</v>
      </c>
    </row>
    <row r="1439" customFormat="false" ht="15.75" hidden="false" customHeight="true" outlineLevel="0" collapsed="false">
      <c r="A1439" s="2" t="s">
        <v>103</v>
      </c>
      <c r="B1439" s="2" t="s">
        <v>133</v>
      </c>
      <c r="C1439" s="1" t="str">
        <f aca="false">A1439&amp;B1439</f>
        <v>5120140002</v>
      </c>
      <c r="D1439" s="13" t="n">
        <v>3552078.65</v>
      </c>
    </row>
    <row r="1440" customFormat="false" ht="15.75" hidden="false" customHeight="true" outlineLevel="0" collapsed="false">
      <c r="A1440" s="2" t="s">
        <v>103</v>
      </c>
      <c r="B1440" s="2" t="s">
        <v>134</v>
      </c>
      <c r="C1440" s="1" t="str">
        <f aca="false">A1440&amp;B1440</f>
        <v>5120160000</v>
      </c>
      <c r="D1440" s="13" t="n">
        <v>169278.84</v>
      </c>
    </row>
    <row r="1441" customFormat="false" ht="15.75" hidden="false" customHeight="true" outlineLevel="0" collapsed="false">
      <c r="A1441" s="2" t="s">
        <v>103</v>
      </c>
      <c r="B1441" s="2" t="s">
        <v>507</v>
      </c>
      <c r="C1441" s="1" t="str">
        <f aca="false">A1441&amp;B1441</f>
        <v>5120160050</v>
      </c>
      <c r="D1441" s="13" t="n">
        <v>-169278.84</v>
      </c>
    </row>
    <row r="1442" customFormat="false" ht="15.75" hidden="false" customHeight="true" outlineLevel="0" collapsed="false">
      <c r="A1442" s="2" t="s">
        <v>103</v>
      </c>
      <c r="B1442" s="2" t="s">
        <v>135</v>
      </c>
      <c r="C1442" s="1" t="str">
        <f aca="false">A1442&amp;B1442</f>
        <v>5120160100</v>
      </c>
      <c r="D1442" s="13" t="n">
        <v>168015.03</v>
      </c>
    </row>
    <row r="1443" customFormat="false" ht="15.75" hidden="false" customHeight="true" outlineLevel="0" collapsed="false">
      <c r="A1443" s="2" t="s">
        <v>103</v>
      </c>
      <c r="B1443" s="2" t="s">
        <v>136</v>
      </c>
      <c r="C1443" s="1" t="str">
        <f aca="false">A1443&amp;B1443</f>
        <v>5120160150</v>
      </c>
      <c r="D1443" s="13" t="n">
        <v>-168015.03</v>
      </c>
    </row>
    <row r="1444" customFormat="false" ht="15.75" hidden="false" customHeight="true" outlineLevel="0" collapsed="false">
      <c r="A1444" s="2" t="s">
        <v>103</v>
      </c>
      <c r="B1444" s="2" t="s">
        <v>137</v>
      </c>
      <c r="C1444" s="1" t="str">
        <f aca="false">A1444&amp;B1444</f>
        <v>5120160200</v>
      </c>
      <c r="D1444" s="13" t="n">
        <v>1546016.21</v>
      </c>
    </row>
    <row r="1445" customFormat="false" ht="15.75" hidden="false" customHeight="true" outlineLevel="0" collapsed="false">
      <c r="A1445" s="2" t="s">
        <v>103</v>
      </c>
      <c r="B1445" s="2" t="s">
        <v>138</v>
      </c>
      <c r="C1445" s="1" t="str">
        <f aca="false">A1445&amp;B1445</f>
        <v>5120160201</v>
      </c>
      <c r="D1445" s="13" t="n">
        <v>106221.68</v>
      </c>
    </row>
    <row r="1446" customFormat="false" ht="15.75" hidden="false" customHeight="true" outlineLevel="0" collapsed="false">
      <c r="A1446" s="2" t="s">
        <v>103</v>
      </c>
      <c r="B1446" s="2" t="s">
        <v>139</v>
      </c>
      <c r="C1446" s="1" t="str">
        <f aca="false">A1446&amp;B1446</f>
        <v>5120160250</v>
      </c>
      <c r="D1446" s="13" t="n">
        <v>-1546016.21</v>
      </c>
    </row>
    <row r="1447" customFormat="false" ht="15.75" hidden="false" customHeight="true" outlineLevel="0" collapsed="false">
      <c r="A1447" s="2" t="s">
        <v>103</v>
      </c>
      <c r="B1447" s="2" t="s">
        <v>140</v>
      </c>
      <c r="C1447" s="1" t="str">
        <f aca="false">A1447&amp;B1447</f>
        <v>5120160251</v>
      </c>
      <c r="D1447" s="13" t="n">
        <v>-106221.68</v>
      </c>
    </row>
    <row r="1448" customFormat="false" ht="15.75" hidden="false" customHeight="true" outlineLevel="0" collapsed="false">
      <c r="A1448" s="2" t="s">
        <v>103</v>
      </c>
      <c r="B1448" s="2" t="s">
        <v>143</v>
      </c>
      <c r="C1448" s="1" t="str">
        <f aca="false">A1448&amp;B1448</f>
        <v>5120165200</v>
      </c>
      <c r="D1448" s="13" t="n">
        <v>1536160.27</v>
      </c>
    </row>
    <row r="1449" customFormat="false" ht="15.75" hidden="false" customHeight="true" outlineLevel="0" collapsed="false">
      <c r="A1449" s="2" t="s">
        <v>103</v>
      </c>
      <c r="B1449" s="2" t="s">
        <v>508</v>
      </c>
      <c r="C1449" s="1" t="str">
        <f aca="false">A1449&amp;B1449</f>
        <v>5120170302</v>
      </c>
      <c r="D1449" s="13" t="n">
        <v>349812125.45</v>
      </c>
    </row>
    <row r="1450" customFormat="false" ht="15.75" hidden="false" customHeight="true" outlineLevel="0" collapsed="false">
      <c r="A1450" s="2" t="s">
        <v>103</v>
      </c>
      <c r="B1450" s="2" t="s">
        <v>509</v>
      </c>
      <c r="C1450" s="1" t="str">
        <f aca="false">A1450&amp;B1450</f>
        <v>5120170352</v>
      </c>
      <c r="D1450" s="13" t="n">
        <v>-349812125.45</v>
      </c>
    </row>
    <row r="1451" customFormat="false" ht="15.75" hidden="false" customHeight="true" outlineLevel="0" collapsed="false">
      <c r="A1451" s="2" t="s">
        <v>103</v>
      </c>
      <c r="B1451" s="2" t="s">
        <v>510</v>
      </c>
      <c r="C1451" s="1" t="str">
        <f aca="false">A1451&amp;B1451</f>
        <v>5120175001</v>
      </c>
      <c r="D1451" s="13" t="n">
        <v>258489.94</v>
      </c>
    </row>
    <row r="1452" customFormat="false" ht="15.75" hidden="false" customHeight="true" outlineLevel="0" collapsed="false">
      <c r="A1452" s="2" t="s">
        <v>103</v>
      </c>
      <c r="B1452" s="2" t="s">
        <v>145</v>
      </c>
      <c r="C1452" s="1" t="str">
        <f aca="false">A1452&amp;B1452</f>
        <v>5120193000</v>
      </c>
      <c r="D1452" s="13" t="n">
        <v>2602713</v>
      </c>
    </row>
    <row r="1453" customFormat="false" ht="15.75" hidden="false" customHeight="true" outlineLevel="0" collapsed="false">
      <c r="A1453" s="2" t="s">
        <v>103</v>
      </c>
      <c r="B1453" s="2" t="s">
        <v>148</v>
      </c>
      <c r="C1453" s="1" t="str">
        <f aca="false">A1453&amp;B1453</f>
        <v>5120200098</v>
      </c>
      <c r="D1453" s="13" t="n">
        <v>-500.02</v>
      </c>
    </row>
    <row r="1454" customFormat="false" ht="15.75" hidden="false" customHeight="true" outlineLevel="0" collapsed="false">
      <c r="A1454" s="2" t="s">
        <v>103</v>
      </c>
      <c r="B1454" s="2" t="s">
        <v>149</v>
      </c>
      <c r="C1454" s="1" t="str">
        <f aca="false">A1454&amp;B1454</f>
        <v>5120200208</v>
      </c>
      <c r="D1454" s="13" t="n">
        <v>-475.86</v>
      </c>
    </row>
    <row r="1455" customFormat="false" ht="15.75" hidden="false" customHeight="true" outlineLevel="0" collapsed="false">
      <c r="A1455" s="2" t="s">
        <v>103</v>
      </c>
      <c r="B1455" s="2" t="s">
        <v>155</v>
      </c>
      <c r="C1455" s="1" t="str">
        <f aca="false">A1455&amp;B1455</f>
        <v>5120201302</v>
      </c>
      <c r="D1455" s="13" t="n">
        <v>-2464657.68</v>
      </c>
    </row>
    <row r="1456" customFormat="false" ht="15.75" hidden="false" customHeight="true" outlineLevel="0" collapsed="false">
      <c r="A1456" s="2" t="s">
        <v>103</v>
      </c>
      <c r="B1456" s="2" t="s">
        <v>156</v>
      </c>
      <c r="C1456" s="1" t="str">
        <f aca="false">A1456&amp;B1456</f>
        <v>5120201400</v>
      </c>
      <c r="D1456" s="13" t="n">
        <v>-138950.21</v>
      </c>
    </row>
    <row r="1457" customFormat="false" ht="15.75" hidden="false" customHeight="true" outlineLevel="0" collapsed="false">
      <c r="A1457" s="2" t="s">
        <v>103</v>
      </c>
      <c r="B1457" s="2" t="s">
        <v>157</v>
      </c>
      <c r="C1457" s="1" t="str">
        <f aca="false">A1457&amp;B1457</f>
        <v>5120204020</v>
      </c>
      <c r="D1457" s="13" t="n">
        <v>0.05</v>
      </c>
    </row>
    <row r="1458" customFormat="false" ht="15.75" hidden="false" customHeight="true" outlineLevel="0" collapsed="false">
      <c r="A1458" s="2" t="s">
        <v>103</v>
      </c>
      <c r="B1458" s="2" t="s">
        <v>123</v>
      </c>
      <c r="C1458" s="1" t="str">
        <f aca="false">A1458&amp;B1458</f>
        <v>5120243000</v>
      </c>
      <c r="D1458" s="13" t="n">
        <v>-92113145.48</v>
      </c>
    </row>
    <row r="1459" customFormat="false" ht="15.75" hidden="false" customHeight="true" outlineLevel="0" collapsed="false">
      <c r="A1459" s="2" t="s">
        <v>103</v>
      </c>
      <c r="B1459" s="2" t="s">
        <v>124</v>
      </c>
      <c r="C1459" s="1" t="str">
        <f aca="false">A1459&amp;B1459</f>
        <v>5120243003</v>
      </c>
      <c r="D1459" s="13" t="n">
        <v>15056222.12</v>
      </c>
    </row>
    <row r="1460" customFormat="false" ht="15.75" hidden="false" customHeight="true" outlineLevel="0" collapsed="false">
      <c r="A1460" s="2" t="s">
        <v>103</v>
      </c>
      <c r="B1460" s="2" t="s">
        <v>125</v>
      </c>
      <c r="C1460" s="1" t="str">
        <f aca="false">A1460&amp;B1460</f>
        <v>5120243005</v>
      </c>
      <c r="D1460" s="13" t="n">
        <v>112883926</v>
      </c>
    </row>
    <row r="1461" customFormat="false" ht="15.75" hidden="false" customHeight="true" outlineLevel="0" collapsed="false">
      <c r="A1461" s="2" t="s">
        <v>103</v>
      </c>
      <c r="B1461" s="2" t="s">
        <v>163</v>
      </c>
      <c r="C1461" s="1" t="str">
        <f aca="false">A1461&amp;B1461</f>
        <v>5120250100</v>
      </c>
      <c r="D1461" s="13" t="n">
        <v>-8575477.61</v>
      </c>
    </row>
    <row r="1462" customFormat="false" ht="15.75" hidden="false" customHeight="true" outlineLevel="0" collapsed="false">
      <c r="A1462" s="2" t="s">
        <v>103</v>
      </c>
      <c r="B1462" s="2" t="s">
        <v>165</v>
      </c>
      <c r="C1462" s="1" t="str">
        <f aca="false">A1462&amp;B1462</f>
        <v>5120280000</v>
      </c>
      <c r="D1462" s="13" t="n">
        <v>332810</v>
      </c>
    </row>
    <row r="1463" customFormat="false" ht="15.75" hidden="false" customHeight="true" outlineLevel="0" collapsed="false">
      <c r="A1463" s="2" t="s">
        <v>103</v>
      </c>
      <c r="B1463" s="2" t="s">
        <v>126</v>
      </c>
      <c r="C1463" s="1" t="str">
        <f aca="false">A1463&amp;B1463</f>
        <v>5120300002</v>
      </c>
      <c r="D1463" s="13" t="n">
        <v>-304315002</v>
      </c>
    </row>
    <row r="1464" customFormat="false" ht="15.75" hidden="false" customHeight="true" outlineLevel="0" collapsed="false">
      <c r="A1464" s="2" t="s">
        <v>103</v>
      </c>
      <c r="B1464" s="2" t="s">
        <v>127</v>
      </c>
      <c r="C1464" s="1" t="str">
        <f aca="false">A1464&amp;B1464</f>
        <v>5120320000</v>
      </c>
      <c r="D1464" s="13" t="n">
        <v>268954585.03</v>
      </c>
    </row>
    <row r="1465" customFormat="false" ht="15.75" hidden="false" customHeight="true" outlineLevel="0" collapsed="false">
      <c r="A1465" s="2" t="s">
        <v>103</v>
      </c>
      <c r="B1465" s="2" t="s">
        <v>223</v>
      </c>
      <c r="C1465" s="1" t="str">
        <f aca="false">A1465&amp;B1465</f>
        <v>5120511000</v>
      </c>
      <c r="D1465" s="13" t="n">
        <v>-12610.8</v>
      </c>
    </row>
    <row r="1466" customFormat="false" ht="15.75" hidden="false" customHeight="true" outlineLevel="0" collapsed="false">
      <c r="A1466" s="2" t="s">
        <v>103</v>
      </c>
      <c r="B1466" s="2" t="s">
        <v>168</v>
      </c>
      <c r="C1466" s="1" t="str">
        <f aca="false">A1466&amp;B1466</f>
        <v>5120514001</v>
      </c>
      <c r="D1466" s="13" t="n">
        <v>-1124809.55</v>
      </c>
    </row>
    <row r="1467" customFormat="false" ht="15.75" hidden="false" customHeight="true" outlineLevel="0" collapsed="false">
      <c r="A1467" s="2" t="s">
        <v>103</v>
      </c>
      <c r="B1467" s="2" t="s">
        <v>104</v>
      </c>
      <c r="C1467" s="1" t="str">
        <f aca="false">A1467&amp;B1467</f>
        <v>5120607030</v>
      </c>
      <c r="D1467" s="13" t="n">
        <v>3404225.77</v>
      </c>
    </row>
    <row r="1468" customFormat="false" ht="15.75" hidden="false" customHeight="true" outlineLevel="0" collapsed="false">
      <c r="A1468" s="2" t="s">
        <v>103</v>
      </c>
      <c r="B1468" s="2" t="s">
        <v>27</v>
      </c>
      <c r="C1468" s="1" t="str">
        <f aca="false">A1468&amp;B1468</f>
        <v>5120609002</v>
      </c>
      <c r="D1468" s="13" t="n">
        <v>0.38</v>
      </c>
    </row>
    <row r="1469" customFormat="false" ht="15.75" hidden="false" customHeight="true" outlineLevel="0" collapsed="false">
      <c r="A1469" s="2" t="s">
        <v>103</v>
      </c>
      <c r="B1469" s="2" t="s">
        <v>24</v>
      </c>
      <c r="C1469" s="1" t="str">
        <f aca="false">A1469&amp;B1469</f>
        <v>5120609004</v>
      </c>
      <c r="D1469" s="13" t="n">
        <v>2651.98</v>
      </c>
    </row>
    <row r="1470" customFormat="false" ht="15.75" hidden="false" customHeight="true" outlineLevel="0" collapsed="false">
      <c r="A1470" s="2" t="s">
        <v>103</v>
      </c>
      <c r="B1470" s="2" t="s">
        <v>180</v>
      </c>
      <c r="C1470" s="1" t="str">
        <f aca="false">A1470&amp;B1470</f>
        <v>5120640100</v>
      </c>
      <c r="D1470" s="13" t="n">
        <v>161766.02</v>
      </c>
    </row>
    <row r="1471" customFormat="false" ht="15.75" hidden="false" customHeight="true" outlineLevel="0" collapsed="false">
      <c r="A1471" s="2" t="s">
        <v>103</v>
      </c>
      <c r="B1471" s="2" t="s">
        <v>35</v>
      </c>
      <c r="C1471" s="1" t="str">
        <f aca="false">A1471&amp;B1471</f>
        <v>5120910004</v>
      </c>
      <c r="D1471" s="13" t="n">
        <v>0</v>
      </c>
    </row>
    <row r="1472" customFormat="false" ht="15.75" hidden="false" customHeight="true" outlineLevel="0" collapsed="false">
      <c r="A1472" s="2" t="s">
        <v>103</v>
      </c>
      <c r="B1472" s="2" t="s">
        <v>183</v>
      </c>
      <c r="C1472" s="1" t="str">
        <f aca="false">A1472&amp;B1472</f>
        <v>5120990000</v>
      </c>
      <c r="D1472" s="13" t="n">
        <v>0</v>
      </c>
    </row>
    <row r="1473" customFormat="false" ht="15.75" hidden="false" customHeight="true" outlineLevel="0" collapsed="false">
      <c r="A1473" s="2" t="s">
        <v>103</v>
      </c>
      <c r="B1473" s="2" t="s">
        <v>184</v>
      </c>
      <c r="C1473" s="1" t="str">
        <f aca="false">A1473&amp;B1473</f>
        <v>5120990002</v>
      </c>
      <c r="D1473" s="13" t="n">
        <v>0</v>
      </c>
    </row>
    <row r="1474" customFormat="false" ht="15.75" hidden="false" customHeight="true" outlineLevel="0" collapsed="false">
      <c r="A1474" s="2" t="s">
        <v>511</v>
      </c>
      <c r="B1474" s="2" t="s">
        <v>188</v>
      </c>
      <c r="C1474" s="1" t="str">
        <f aca="false">A1474&amp;B1474</f>
        <v>5200191000</v>
      </c>
      <c r="D1474" s="13" t="n">
        <v>15000002</v>
      </c>
    </row>
    <row r="1475" customFormat="false" ht="15.75" hidden="false" customHeight="true" outlineLevel="0" collapsed="false">
      <c r="A1475" s="2" t="s">
        <v>511</v>
      </c>
      <c r="B1475" s="2" t="s">
        <v>126</v>
      </c>
      <c r="C1475" s="1" t="str">
        <f aca="false">A1475&amp;B1475</f>
        <v>5200300002</v>
      </c>
      <c r="D1475" s="13" t="n">
        <v>-15000002</v>
      </c>
    </row>
    <row r="1476" customFormat="false" ht="15.75" hidden="false" customHeight="true" outlineLevel="0" collapsed="false">
      <c r="A1476" s="2" t="s">
        <v>512</v>
      </c>
      <c r="B1476" s="2" t="s">
        <v>134</v>
      </c>
      <c r="C1476" s="1" t="str">
        <f aca="false">A1476&amp;B1476</f>
        <v>5220160000</v>
      </c>
      <c r="D1476" s="13" t="n">
        <v>1373000</v>
      </c>
    </row>
    <row r="1477" customFormat="false" ht="15.75" hidden="false" customHeight="true" outlineLevel="0" collapsed="false">
      <c r="A1477" s="2" t="s">
        <v>512</v>
      </c>
      <c r="B1477" s="2" t="s">
        <v>145</v>
      </c>
      <c r="C1477" s="1" t="str">
        <f aca="false">A1477&amp;B1477</f>
        <v>5220193000</v>
      </c>
      <c r="D1477" s="13" t="n">
        <v>267778</v>
      </c>
    </row>
    <row r="1478" customFormat="false" ht="15.75" hidden="false" customHeight="true" outlineLevel="0" collapsed="false">
      <c r="A1478" s="2" t="s">
        <v>512</v>
      </c>
      <c r="B1478" s="2" t="s">
        <v>123</v>
      </c>
      <c r="C1478" s="1" t="str">
        <f aca="false">A1478&amp;B1478</f>
        <v>5220243000</v>
      </c>
      <c r="D1478" s="13" t="n">
        <v>-18561365.37</v>
      </c>
    </row>
    <row r="1479" customFormat="false" ht="15.75" hidden="false" customHeight="true" outlineLevel="0" collapsed="false">
      <c r="A1479" s="2" t="s">
        <v>512</v>
      </c>
      <c r="B1479" s="2" t="s">
        <v>124</v>
      </c>
      <c r="C1479" s="1" t="str">
        <f aca="false">A1479&amp;B1479</f>
        <v>5220243003</v>
      </c>
      <c r="D1479" s="13" t="n">
        <v>15000145.79</v>
      </c>
    </row>
    <row r="1480" customFormat="false" ht="15.75" hidden="false" customHeight="true" outlineLevel="0" collapsed="false">
      <c r="A1480" s="2" t="s">
        <v>512</v>
      </c>
      <c r="B1480" s="2" t="s">
        <v>125</v>
      </c>
      <c r="C1480" s="1" t="str">
        <f aca="false">A1480&amp;B1480</f>
        <v>5220243005</v>
      </c>
      <c r="D1480" s="13" t="n">
        <v>161741</v>
      </c>
    </row>
    <row r="1481" customFormat="false" ht="15.75" hidden="false" customHeight="true" outlineLevel="0" collapsed="false">
      <c r="A1481" s="2" t="s">
        <v>512</v>
      </c>
      <c r="B1481" s="2" t="s">
        <v>165</v>
      </c>
      <c r="C1481" s="1" t="str">
        <f aca="false">A1481&amp;B1481</f>
        <v>5220280000</v>
      </c>
      <c r="D1481" s="13" t="n">
        <v>4413490</v>
      </c>
    </row>
    <row r="1482" customFormat="false" ht="15.75" hidden="false" customHeight="true" outlineLevel="0" collapsed="false">
      <c r="A1482" s="2" t="s">
        <v>512</v>
      </c>
      <c r="B1482" s="2" t="s">
        <v>126</v>
      </c>
      <c r="C1482" s="1" t="str">
        <f aca="false">A1482&amp;B1482</f>
        <v>5220300002</v>
      </c>
      <c r="D1482" s="13" t="n">
        <v>-15000002</v>
      </c>
    </row>
    <row r="1483" customFormat="false" ht="15.75" hidden="false" customHeight="true" outlineLevel="0" collapsed="false">
      <c r="A1483" s="2" t="s">
        <v>512</v>
      </c>
      <c r="B1483" s="2" t="s">
        <v>127</v>
      </c>
      <c r="C1483" s="1" t="str">
        <f aca="false">A1483&amp;B1483</f>
        <v>5220320000</v>
      </c>
      <c r="D1483" s="13" t="n">
        <v>12345212.58</v>
      </c>
    </row>
    <row r="1484" customFormat="false" ht="15.75" hidden="false" customHeight="true" outlineLevel="0" collapsed="false">
      <c r="A1484" s="2" t="s">
        <v>513</v>
      </c>
      <c r="B1484" s="2" t="s">
        <v>123</v>
      </c>
      <c r="C1484" s="1" t="str">
        <f aca="false">A1484&amp;B1484</f>
        <v>5300243000</v>
      </c>
      <c r="D1484" s="13" t="n">
        <v>-486107.91</v>
      </c>
    </row>
    <row r="1485" customFormat="false" ht="15.75" hidden="false" customHeight="true" outlineLevel="0" collapsed="false">
      <c r="A1485" s="2" t="s">
        <v>513</v>
      </c>
      <c r="B1485" s="2" t="s">
        <v>125</v>
      </c>
      <c r="C1485" s="1" t="str">
        <f aca="false">A1485&amp;B1485</f>
        <v>5300243005</v>
      </c>
      <c r="D1485" s="13" t="n">
        <v>164923</v>
      </c>
    </row>
    <row r="1486" customFormat="false" ht="15.75" hidden="false" customHeight="true" outlineLevel="0" collapsed="false">
      <c r="A1486" s="2" t="s">
        <v>513</v>
      </c>
      <c r="B1486" s="2" t="s">
        <v>127</v>
      </c>
      <c r="C1486" s="1" t="str">
        <f aca="false">A1486&amp;B1486</f>
        <v>5300320000</v>
      </c>
      <c r="D1486" s="13" t="n">
        <v>321184.91</v>
      </c>
    </row>
    <row r="1487" customFormat="false" ht="15.75" hidden="false" customHeight="true" outlineLevel="0" collapsed="false">
      <c r="A1487" s="2" t="s">
        <v>514</v>
      </c>
      <c r="B1487" s="2" t="s">
        <v>188</v>
      </c>
      <c r="C1487" s="1" t="str">
        <f aca="false">A1487&amp;B1487</f>
        <v>5400191000</v>
      </c>
      <c r="D1487" s="13" t="n">
        <v>12893184</v>
      </c>
    </row>
    <row r="1488" customFormat="false" ht="15.75" hidden="false" customHeight="true" outlineLevel="0" collapsed="false">
      <c r="A1488" s="2" t="s">
        <v>514</v>
      </c>
      <c r="B1488" s="2" t="s">
        <v>123</v>
      </c>
      <c r="C1488" s="1" t="str">
        <f aca="false">A1488&amp;B1488</f>
        <v>5400243000</v>
      </c>
      <c r="D1488" s="13" t="n">
        <v>62081435.55</v>
      </c>
    </row>
    <row r="1489" customFormat="false" ht="15.75" hidden="false" customHeight="true" outlineLevel="0" collapsed="false">
      <c r="A1489" s="2" t="s">
        <v>514</v>
      </c>
      <c r="B1489" s="2" t="s">
        <v>124</v>
      </c>
      <c r="C1489" s="1" t="str">
        <f aca="false">A1489&amp;B1489</f>
        <v>5400243003</v>
      </c>
      <c r="D1489" s="13" t="n">
        <v>-87220559.65</v>
      </c>
    </row>
    <row r="1490" customFormat="false" ht="15.75" hidden="false" customHeight="true" outlineLevel="0" collapsed="false">
      <c r="A1490" s="2" t="s">
        <v>514</v>
      </c>
      <c r="B1490" s="2" t="s">
        <v>125</v>
      </c>
      <c r="C1490" s="1" t="str">
        <f aca="false">A1490&amp;B1490</f>
        <v>5400243005</v>
      </c>
      <c r="D1490" s="13" t="n">
        <v>-7126943.8</v>
      </c>
    </row>
    <row r="1491" customFormat="false" ht="15.75" hidden="false" customHeight="true" outlineLevel="0" collapsed="false">
      <c r="A1491" s="2" t="s">
        <v>514</v>
      </c>
      <c r="B1491" s="2" t="s">
        <v>126</v>
      </c>
      <c r="C1491" s="1" t="str">
        <f aca="false">A1491&amp;B1491</f>
        <v>5400300002</v>
      </c>
      <c r="D1491" s="13" t="n">
        <v>-2</v>
      </c>
    </row>
    <row r="1492" customFormat="false" ht="15.75" hidden="false" customHeight="true" outlineLevel="0" collapsed="false">
      <c r="A1492" s="2" t="s">
        <v>514</v>
      </c>
      <c r="B1492" s="2" t="s">
        <v>199</v>
      </c>
      <c r="C1492" s="1" t="str">
        <f aca="false">A1492&amp;B1492</f>
        <v>5400311003</v>
      </c>
      <c r="D1492" s="13" t="n">
        <v>1</v>
      </c>
    </row>
    <row r="1493" customFormat="false" ht="15.75" hidden="false" customHeight="true" outlineLevel="0" collapsed="false">
      <c r="A1493" s="2" t="s">
        <v>514</v>
      </c>
      <c r="B1493" s="2" t="s">
        <v>127</v>
      </c>
      <c r="C1493" s="1" t="str">
        <f aca="false">A1493&amp;B1493</f>
        <v>5400320000</v>
      </c>
      <c r="D1493" s="13" t="n">
        <v>19372884.9</v>
      </c>
    </row>
    <row r="1494" customFormat="false" ht="15.75" hidden="false" customHeight="true" outlineLevel="0" collapsed="false">
      <c r="A1494" s="2" t="s">
        <v>515</v>
      </c>
      <c r="B1494" s="2" t="s">
        <v>229</v>
      </c>
      <c r="C1494" s="1" t="str">
        <f aca="false">A1494&amp;B1494</f>
        <v>5430190000</v>
      </c>
      <c r="D1494" s="13" t="n">
        <v>7228182</v>
      </c>
    </row>
    <row r="1495" customFormat="false" ht="15.75" hidden="false" customHeight="true" outlineLevel="0" collapsed="false">
      <c r="A1495" s="2" t="s">
        <v>515</v>
      </c>
      <c r="B1495" s="2" t="s">
        <v>313</v>
      </c>
      <c r="C1495" s="1" t="str">
        <f aca="false">A1495&amp;B1495</f>
        <v>5430190001</v>
      </c>
      <c r="D1495" s="13" t="n">
        <v>4646895.82</v>
      </c>
    </row>
    <row r="1496" customFormat="false" ht="15.75" hidden="false" customHeight="true" outlineLevel="0" collapsed="false">
      <c r="A1496" s="2" t="s">
        <v>515</v>
      </c>
      <c r="B1496" s="2" t="s">
        <v>516</v>
      </c>
      <c r="C1496" s="1" t="str">
        <f aca="false">A1496&amp;B1496</f>
        <v>5430190003</v>
      </c>
      <c r="D1496" s="13" t="n">
        <v>3237464.35</v>
      </c>
    </row>
    <row r="1497" customFormat="false" ht="15.75" hidden="false" customHeight="true" outlineLevel="0" collapsed="false">
      <c r="A1497" s="2" t="s">
        <v>515</v>
      </c>
      <c r="B1497" s="2" t="s">
        <v>517</v>
      </c>
      <c r="C1497" s="1" t="str">
        <f aca="false">A1497&amp;B1497</f>
        <v>5430190005</v>
      </c>
      <c r="D1497" s="13" t="n">
        <v>5562.68</v>
      </c>
    </row>
    <row r="1498" customFormat="false" ht="15.75" hidden="false" customHeight="true" outlineLevel="0" collapsed="false">
      <c r="A1498" s="2" t="s">
        <v>515</v>
      </c>
      <c r="B1498" s="2" t="s">
        <v>123</v>
      </c>
      <c r="C1498" s="1" t="str">
        <f aca="false">A1498&amp;B1498</f>
        <v>5430243000</v>
      </c>
      <c r="D1498" s="13" t="n">
        <v>6215724.56</v>
      </c>
    </row>
    <row r="1499" customFormat="false" ht="15.75" hidden="false" customHeight="true" outlineLevel="0" collapsed="false">
      <c r="A1499" s="2" t="s">
        <v>515</v>
      </c>
      <c r="B1499" s="2" t="s">
        <v>125</v>
      </c>
      <c r="C1499" s="1" t="str">
        <f aca="false">A1499&amp;B1499</f>
        <v>5430243005</v>
      </c>
      <c r="D1499" s="13" t="n">
        <v>-668136</v>
      </c>
    </row>
    <row r="1500" customFormat="false" ht="15.75" hidden="false" customHeight="true" outlineLevel="0" collapsed="false">
      <c r="A1500" s="2" t="s">
        <v>515</v>
      </c>
      <c r="B1500" s="2" t="s">
        <v>165</v>
      </c>
      <c r="C1500" s="1" t="str">
        <f aca="false">A1500&amp;B1500</f>
        <v>5430280000</v>
      </c>
      <c r="D1500" s="13" t="n">
        <v>-2031584</v>
      </c>
    </row>
    <row r="1501" customFormat="false" ht="15.75" hidden="false" customHeight="true" outlineLevel="0" collapsed="false">
      <c r="A1501" s="2" t="s">
        <v>515</v>
      </c>
      <c r="B1501" s="2" t="s">
        <v>126</v>
      </c>
      <c r="C1501" s="1" t="str">
        <f aca="false">A1501&amp;B1501</f>
        <v>5430300002</v>
      </c>
      <c r="D1501" s="13" t="n">
        <v>-17000001</v>
      </c>
    </row>
    <row r="1502" customFormat="false" ht="15.75" hidden="false" customHeight="true" outlineLevel="0" collapsed="false">
      <c r="A1502" s="2" t="s">
        <v>515</v>
      </c>
      <c r="B1502" s="2" t="s">
        <v>518</v>
      </c>
      <c r="C1502" s="1" t="str">
        <f aca="false">A1502&amp;B1502</f>
        <v>5430311000</v>
      </c>
      <c r="D1502" s="13" t="n">
        <v>-3237464.35</v>
      </c>
    </row>
    <row r="1503" customFormat="false" ht="15.75" hidden="false" customHeight="true" outlineLevel="0" collapsed="false">
      <c r="A1503" s="2" t="s">
        <v>515</v>
      </c>
      <c r="B1503" s="2" t="s">
        <v>199</v>
      </c>
      <c r="C1503" s="1" t="str">
        <f aca="false">A1503&amp;B1503</f>
        <v>5430311003</v>
      </c>
      <c r="D1503" s="13" t="n">
        <v>970878</v>
      </c>
    </row>
    <row r="1504" customFormat="false" ht="15.75" hidden="false" customHeight="true" outlineLevel="0" collapsed="false">
      <c r="A1504" s="2" t="s">
        <v>515</v>
      </c>
      <c r="B1504" s="2" t="s">
        <v>127</v>
      </c>
      <c r="C1504" s="1" t="str">
        <f aca="false">A1504&amp;B1504</f>
        <v>5430320000</v>
      </c>
      <c r="D1504" s="13" t="n">
        <v>3127703.46</v>
      </c>
    </row>
    <row r="1505" customFormat="false" ht="15.75" hidden="false" customHeight="true" outlineLevel="0" collapsed="false">
      <c r="A1505" s="2" t="s">
        <v>515</v>
      </c>
      <c r="B1505" s="2" t="s">
        <v>519</v>
      </c>
      <c r="C1505" s="1" t="str">
        <f aca="false">A1505&amp;B1505</f>
        <v>5430650000</v>
      </c>
      <c r="D1505" s="13" t="n">
        <v>-2495225.52</v>
      </c>
    </row>
    <row r="1506" customFormat="false" ht="15.75" hidden="false" customHeight="true" outlineLevel="0" collapsed="false">
      <c r="A1506" s="2" t="s">
        <v>515</v>
      </c>
      <c r="B1506" s="2" t="s">
        <v>183</v>
      </c>
      <c r="C1506" s="1" t="str">
        <f aca="false">A1506&amp;B1506</f>
        <v>5430990000</v>
      </c>
      <c r="D1506" s="13" t="n">
        <v>0</v>
      </c>
    </row>
    <row r="1507" customFormat="false" ht="15.75" hidden="false" customHeight="true" outlineLevel="0" collapsed="false">
      <c r="A1507" s="2" t="s">
        <v>520</v>
      </c>
      <c r="B1507" s="2" t="s">
        <v>145</v>
      </c>
      <c r="C1507" s="1" t="str">
        <f aca="false">A1507&amp;B1507</f>
        <v>5440193000</v>
      </c>
      <c r="D1507" s="13" t="n">
        <v>138778</v>
      </c>
    </row>
    <row r="1508" customFormat="false" ht="15.75" hidden="false" customHeight="true" outlineLevel="0" collapsed="false">
      <c r="A1508" s="2" t="s">
        <v>520</v>
      </c>
      <c r="B1508" s="2" t="s">
        <v>123</v>
      </c>
      <c r="C1508" s="1" t="str">
        <f aca="false">A1508&amp;B1508</f>
        <v>5440243000</v>
      </c>
      <c r="D1508" s="13" t="n">
        <v>3840559.62</v>
      </c>
    </row>
    <row r="1509" customFormat="false" ht="15.75" hidden="false" customHeight="true" outlineLevel="0" collapsed="false">
      <c r="A1509" s="2" t="s">
        <v>520</v>
      </c>
      <c r="B1509" s="2" t="s">
        <v>124</v>
      </c>
      <c r="C1509" s="1" t="str">
        <f aca="false">A1509&amp;B1509</f>
        <v>5440243003</v>
      </c>
      <c r="D1509" s="13" t="n">
        <v>-7399973</v>
      </c>
    </row>
    <row r="1510" customFormat="false" ht="15.75" hidden="false" customHeight="true" outlineLevel="0" collapsed="false">
      <c r="A1510" s="2" t="s">
        <v>520</v>
      </c>
      <c r="B1510" s="2" t="s">
        <v>125</v>
      </c>
      <c r="C1510" s="1" t="str">
        <f aca="false">A1510&amp;B1510</f>
        <v>5440243005</v>
      </c>
      <c r="D1510" s="13" t="n">
        <v>2052570</v>
      </c>
    </row>
    <row r="1511" customFormat="false" ht="15.75" hidden="false" customHeight="true" outlineLevel="0" collapsed="false">
      <c r="A1511" s="2" t="s">
        <v>520</v>
      </c>
      <c r="B1511" s="2" t="s">
        <v>126</v>
      </c>
      <c r="C1511" s="1" t="str">
        <f aca="false">A1511&amp;B1511</f>
        <v>5440300002</v>
      </c>
      <c r="D1511" s="13" t="n">
        <v>-2</v>
      </c>
    </row>
    <row r="1512" customFormat="false" ht="15.75" hidden="false" customHeight="true" outlineLevel="0" collapsed="false">
      <c r="A1512" s="2" t="s">
        <v>520</v>
      </c>
      <c r="B1512" s="2" t="s">
        <v>127</v>
      </c>
      <c r="C1512" s="1" t="str">
        <f aca="false">A1512&amp;B1512</f>
        <v>5440320000</v>
      </c>
      <c r="D1512" s="13" t="n">
        <v>1368067.38</v>
      </c>
    </row>
    <row r="1513" customFormat="false" ht="15.75" hidden="false" customHeight="true" outlineLevel="0" collapsed="false">
      <c r="A1513" s="2" t="s">
        <v>105</v>
      </c>
      <c r="B1513" s="2" t="s">
        <v>131</v>
      </c>
      <c r="C1513" s="1" t="str">
        <f aca="false">A1513&amp;B1513</f>
        <v>5450120000</v>
      </c>
      <c r="D1513" s="13" t="n">
        <v>4902.81</v>
      </c>
    </row>
    <row r="1514" customFormat="false" ht="15.75" hidden="false" customHeight="true" outlineLevel="0" collapsed="false">
      <c r="A1514" s="2" t="s">
        <v>105</v>
      </c>
      <c r="B1514" s="2" t="s">
        <v>147</v>
      </c>
      <c r="C1514" s="1" t="str">
        <f aca="false">A1514&amp;B1514</f>
        <v>5450200004</v>
      </c>
      <c r="D1514" s="13" t="n">
        <v>-5147.92</v>
      </c>
    </row>
    <row r="1515" customFormat="false" ht="15.75" hidden="false" customHeight="true" outlineLevel="0" collapsed="false">
      <c r="A1515" s="2" t="s">
        <v>105</v>
      </c>
      <c r="B1515" s="2" t="s">
        <v>148</v>
      </c>
      <c r="C1515" s="1" t="str">
        <f aca="false">A1515&amp;B1515</f>
        <v>5450200098</v>
      </c>
      <c r="D1515" s="13" t="n">
        <v>0</v>
      </c>
    </row>
    <row r="1516" customFormat="false" ht="15.75" hidden="false" customHeight="true" outlineLevel="0" collapsed="false">
      <c r="A1516" s="2" t="s">
        <v>105</v>
      </c>
      <c r="B1516" s="2" t="s">
        <v>157</v>
      </c>
      <c r="C1516" s="1" t="str">
        <f aca="false">A1516&amp;B1516</f>
        <v>5450204020</v>
      </c>
      <c r="D1516" s="13" t="n">
        <v>580.21</v>
      </c>
    </row>
    <row r="1517" customFormat="false" ht="15.75" hidden="false" customHeight="true" outlineLevel="0" collapsed="false">
      <c r="A1517" s="2" t="s">
        <v>105</v>
      </c>
      <c r="B1517" s="2" t="s">
        <v>123</v>
      </c>
      <c r="C1517" s="1" t="str">
        <f aca="false">A1517&amp;B1517</f>
        <v>5450243000</v>
      </c>
      <c r="D1517" s="13" t="n">
        <v>3496458.92</v>
      </c>
    </row>
    <row r="1518" customFormat="false" ht="15.75" hidden="false" customHeight="true" outlineLevel="0" collapsed="false">
      <c r="A1518" s="2" t="s">
        <v>105</v>
      </c>
      <c r="B1518" s="2" t="s">
        <v>125</v>
      </c>
      <c r="C1518" s="1" t="str">
        <f aca="false">A1518&amp;B1518</f>
        <v>5450243005</v>
      </c>
      <c r="D1518" s="13" t="n">
        <v>-1060702</v>
      </c>
    </row>
    <row r="1519" customFormat="false" ht="15.75" hidden="false" customHeight="true" outlineLevel="0" collapsed="false">
      <c r="A1519" s="2" t="s">
        <v>105</v>
      </c>
      <c r="B1519" s="2" t="s">
        <v>127</v>
      </c>
      <c r="C1519" s="1" t="str">
        <f aca="false">A1519&amp;B1519</f>
        <v>5450320000</v>
      </c>
      <c r="D1519" s="13" t="n">
        <v>-2472514.35</v>
      </c>
    </row>
    <row r="1520" customFormat="false" ht="15.75" hidden="false" customHeight="true" outlineLevel="0" collapsed="false">
      <c r="A1520" s="2" t="s">
        <v>105</v>
      </c>
      <c r="B1520" s="2" t="s">
        <v>27</v>
      </c>
      <c r="C1520" s="1" t="str">
        <f aca="false">A1520&amp;B1520</f>
        <v>5450609002</v>
      </c>
      <c r="D1520" s="13" t="n">
        <v>-0.45</v>
      </c>
    </row>
    <row r="1521" customFormat="false" ht="15.75" hidden="false" customHeight="true" outlineLevel="0" collapsed="false">
      <c r="A1521" s="2" t="s">
        <v>105</v>
      </c>
      <c r="B1521" s="2" t="s">
        <v>24</v>
      </c>
      <c r="C1521" s="1" t="str">
        <f aca="false">A1521&amp;B1521</f>
        <v>5450609004</v>
      </c>
      <c r="D1521" s="13" t="n">
        <v>36422.78</v>
      </c>
    </row>
    <row r="1522" customFormat="false" ht="15.75" hidden="false" customHeight="true" outlineLevel="0" collapsed="false">
      <c r="A1522" s="2" t="s">
        <v>105</v>
      </c>
      <c r="B1522" s="2" t="s">
        <v>183</v>
      </c>
      <c r="C1522" s="1" t="str">
        <f aca="false">A1522&amp;B1522</f>
        <v>5450990000</v>
      </c>
      <c r="D1522" s="13" t="n">
        <v>0</v>
      </c>
    </row>
    <row r="1523" customFormat="false" ht="15.75" hidden="false" customHeight="true" outlineLevel="0" collapsed="false">
      <c r="A1523" s="2" t="s">
        <v>106</v>
      </c>
      <c r="B1523" s="2" t="s">
        <v>261</v>
      </c>
      <c r="C1523" s="1" t="str">
        <f aca="false">A1523&amp;B1523</f>
        <v>5500110050</v>
      </c>
      <c r="D1523" s="13" t="n">
        <v>10000</v>
      </c>
    </row>
    <row r="1524" customFormat="false" ht="15.75" hidden="false" customHeight="true" outlineLevel="0" collapsed="false">
      <c r="A1524" s="2" t="s">
        <v>106</v>
      </c>
      <c r="B1524" s="2" t="s">
        <v>133</v>
      </c>
      <c r="C1524" s="1" t="str">
        <f aca="false">A1524&amp;B1524</f>
        <v>5500140002</v>
      </c>
      <c r="D1524" s="13" t="n">
        <v>156982.85</v>
      </c>
    </row>
    <row r="1525" customFormat="false" ht="15.75" hidden="false" customHeight="true" outlineLevel="0" collapsed="false">
      <c r="A1525" s="2" t="s">
        <v>106</v>
      </c>
      <c r="B1525" s="2" t="s">
        <v>134</v>
      </c>
      <c r="C1525" s="1" t="str">
        <f aca="false">A1525&amp;B1525</f>
        <v>5500160000</v>
      </c>
      <c r="D1525" s="13" t="n">
        <v>1010614</v>
      </c>
    </row>
    <row r="1526" customFormat="false" ht="15.75" hidden="false" customHeight="true" outlineLevel="0" collapsed="false">
      <c r="A1526" s="2" t="s">
        <v>106</v>
      </c>
      <c r="B1526" s="2" t="s">
        <v>137</v>
      </c>
      <c r="C1526" s="1" t="str">
        <f aca="false">A1526&amp;B1526</f>
        <v>5500160200</v>
      </c>
      <c r="D1526" s="13" t="n">
        <v>228687.44</v>
      </c>
    </row>
    <row r="1527" customFormat="false" ht="15.75" hidden="false" customHeight="true" outlineLevel="0" collapsed="false">
      <c r="A1527" s="2" t="s">
        <v>106</v>
      </c>
      <c r="B1527" s="2" t="s">
        <v>138</v>
      </c>
      <c r="C1527" s="1" t="str">
        <f aca="false">A1527&amp;B1527</f>
        <v>5500160201</v>
      </c>
      <c r="D1527" s="13" t="n">
        <v>183818</v>
      </c>
    </row>
    <row r="1528" customFormat="false" ht="15.75" hidden="false" customHeight="true" outlineLevel="0" collapsed="false">
      <c r="A1528" s="2" t="s">
        <v>106</v>
      </c>
      <c r="B1528" s="2" t="s">
        <v>139</v>
      </c>
      <c r="C1528" s="1" t="str">
        <f aca="false">A1528&amp;B1528</f>
        <v>5500160250</v>
      </c>
      <c r="D1528" s="13" t="n">
        <v>-215777.92</v>
      </c>
    </row>
    <row r="1529" customFormat="false" ht="15.75" hidden="false" customHeight="true" outlineLevel="0" collapsed="false">
      <c r="A1529" s="2" t="s">
        <v>106</v>
      </c>
      <c r="B1529" s="2" t="s">
        <v>140</v>
      </c>
      <c r="C1529" s="1" t="str">
        <f aca="false">A1529&amp;B1529</f>
        <v>5500160251</v>
      </c>
      <c r="D1529" s="13" t="n">
        <v>-183818</v>
      </c>
    </row>
    <row r="1530" customFormat="false" ht="15.75" hidden="false" customHeight="true" outlineLevel="0" collapsed="false">
      <c r="A1530" s="2" t="s">
        <v>106</v>
      </c>
      <c r="B1530" s="2" t="s">
        <v>271</v>
      </c>
      <c r="C1530" s="1" t="str">
        <f aca="false">A1530&amp;B1530</f>
        <v>5500165203</v>
      </c>
      <c r="D1530" s="13" t="n">
        <v>15755.73</v>
      </c>
    </row>
    <row r="1531" customFormat="false" ht="15.75" hidden="false" customHeight="true" outlineLevel="0" collapsed="false">
      <c r="A1531" s="2" t="s">
        <v>106</v>
      </c>
      <c r="B1531" s="2" t="s">
        <v>145</v>
      </c>
      <c r="C1531" s="1" t="str">
        <f aca="false">A1531&amp;B1531</f>
        <v>5500193000</v>
      </c>
      <c r="D1531" s="13" t="n">
        <v>1443600</v>
      </c>
    </row>
    <row r="1532" customFormat="false" ht="15.75" hidden="false" customHeight="true" outlineLevel="0" collapsed="false">
      <c r="A1532" s="2" t="s">
        <v>106</v>
      </c>
      <c r="B1532" s="2" t="s">
        <v>148</v>
      </c>
      <c r="C1532" s="1" t="str">
        <f aca="false">A1532&amp;B1532</f>
        <v>5500200098</v>
      </c>
      <c r="D1532" s="13" t="n">
        <v>-72999.91</v>
      </c>
    </row>
    <row r="1533" customFormat="false" ht="15.75" hidden="false" customHeight="true" outlineLevel="0" collapsed="false">
      <c r="A1533" s="2" t="s">
        <v>106</v>
      </c>
      <c r="B1533" s="2" t="s">
        <v>149</v>
      </c>
      <c r="C1533" s="1" t="str">
        <f aca="false">A1533&amp;B1533</f>
        <v>5500200208</v>
      </c>
      <c r="D1533" s="13" t="n">
        <v>-1095.69</v>
      </c>
    </row>
    <row r="1534" customFormat="false" ht="15.75" hidden="false" customHeight="true" outlineLevel="0" collapsed="false">
      <c r="A1534" s="2" t="s">
        <v>106</v>
      </c>
      <c r="B1534" s="2" t="s">
        <v>150</v>
      </c>
      <c r="C1534" s="1" t="str">
        <f aca="false">A1534&amp;B1534</f>
        <v>5500200302</v>
      </c>
      <c r="D1534" s="13" t="n">
        <v>-157935.93</v>
      </c>
    </row>
    <row r="1535" customFormat="false" ht="15.75" hidden="false" customHeight="true" outlineLevel="0" collapsed="false">
      <c r="A1535" s="2" t="s">
        <v>106</v>
      </c>
      <c r="B1535" s="2" t="s">
        <v>155</v>
      </c>
      <c r="C1535" s="1" t="str">
        <f aca="false">A1535&amp;B1535</f>
        <v>5500201302</v>
      </c>
      <c r="D1535" s="13" t="n">
        <v>-51248</v>
      </c>
    </row>
    <row r="1536" customFormat="false" ht="15.75" hidden="false" customHeight="true" outlineLevel="0" collapsed="false">
      <c r="A1536" s="2" t="s">
        <v>106</v>
      </c>
      <c r="B1536" s="2" t="s">
        <v>157</v>
      </c>
      <c r="C1536" s="1" t="str">
        <f aca="false">A1536&amp;B1536</f>
        <v>5500204020</v>
      </c>
      <c r="D1536" s="13" t="n">
        <v>5280.08</v>
      </c>
    </row>
    <row r="1537" customFormat="false" ht="15.75" hidden="false" customHeight="true" outlineLevel="0" collapsed="false">
      <c r="A1537" s="2" t="s">
        <v>106</v>
      </c>
      <c r="B1537" s="2" t="s">
        <v>123</v>
      </c>
      <c r="C1537" s="1" t="str">
        <f aca="false">A1537&amp;B1537</f>
        <v>5500243000</v>
      </c>
      <c r="D1537" s="13" t="n">
        <v>-5027578.03</v>
      </c>
    </row>
    <row r="1538" customFormat="false" ht="15.75" hidden="false" customHeight="true" outlineLevel="0" collapsed="false">
      <c r="A1538" s="2" t="s">
        <v>106</v>
      </c>
      <c r="B1538" s="2" t="s">
        <v>124</v>
      </c>
      <c r="C1538" s="1" t="str">
        <f aca="false">A1538&amp;B1538</f>
        <v>5500243003</v>
      </c>
      <c r="D1538" s="13" t="n">
        <v>-12412589.74</v>
      </c>
    </row>
    <row r="1539" customFormat="false" ht="15.75" hidden="false" customHeight="true" outlineLevel="0" collapsed="false">
      <c r="A1539" s="2" t="s">
        <v>106</v>
      </c>
      <c r="B1539" s="2" t="s">
        <v>125</v>
      </c>
      <c r="C1539" s="1" t="str">
        <f aca="false">A1539&amp;B1539</f>
        <v>5500243005</v>
      </c>
      <c r="D1539" s="13" t="n">
        <v>3315191</v>
      </c>
    </row>
    <row r="1540" customFormat="false" ht="15.75" hidden="false" customHeight="true" outlineLevel="0" collapsed="false">
      <c r="A1540" s="2" t="s">
        <v>106</v>
      </c>
      <c r="B1540" s="2" t="s">
        <v>163</v>
      </c>
      <c r="C1540" s="1" t="str">
        <f aca="false">A1540&amp;B1540</f>
        <v>5500250100</v>
      </c>
      <c r="D1540" s="13" t="n">
        <v>-4812000</v>
      </c>
    </row>
    <row r="1541" customFormat="false" ht="15.75" hidden="false" customHeight="true" outlineLevel="0" collapsed="false">
      <c r="A1541" s="2" t="s">
        <v>106</v>
      </c>
      <c r="B1541" s="2" t="s">
        <v>165</v>
      </c>
      <c r="C1541" s="1" t="str">
        <f aca="false">A1541&amp;B1541</f>
        <v>5500280000</v>
      </c>
      <c r="D1541" s="13" t="n">
        <v>1652307</v>
      </c>
    </row>
    <row r="1542" customFormat="false" ht="15.75" hidden="false" customHeight="true" outlineLevel="0" collapsed="false">
      <c r="A1542" s="2" t="s">
        <v>106</v>
      </c>
      <c r="B1542" s="2" t="s">
        <v>126</v>
      </c>
      <c r="C1542" s="1" t="str">
        <f aca="false">A1542&amp;B1542</f>
        <v>5500300002</v>
      </c>
      <c r="D1542" s="13" t="n">
        <v>-19800</v>
      </c>
    </row>
    <row r="1543" customFormat="false" ht="15.75" hidden="false" customHeight="true" outlineLevel="0" collapsed="false">
      <c r="A1543" s="2" t="s">
        <v>106</v>
      </c>
      <c r="B1543" s="2" t="s">
        <v>127</v>
      </c>
      <c r="C1543" s="1" t="str">
        <f aca="false">A1543&amp;B1543</f>
        <v>5500320000</v>
      </c>
      <c r="D1543" s="13" t="n">
        <v>13844248.24</v>
      </c>
    </row>
    <row r="1544" customFormat="false" ht="15.75" hidden="false" customHeight="true" outlineLevel="0" collapsed="false">
      <c r="A1544" s="2" t="s">
        <v>106</v>
      </c>
      <c r="B1544" s="2" t="s">
        <v>15</v>
      </c>
      <c r="C1544" s="1" t="str">
        <f aca="false">A1544&amp;B1544</f>
        <v>5500602070</v>
      </c>
      <c r="D1544" s="13" t="n">
        <v>24323.6</v>
      </c>
    </row>
    <row r="1545" customFormat="false" ht="15.75" hidden="false" customHeight="true" outlineLevel="0" collapsed="false">
      <c r="A1545" s="2" t="s">
        <v>106</v>
      </c>
      <c r="B1545" s="2" t="s">
        <v>33</v>
      </c>
      <c r="C1545" s="1" t="str">
        <f aca="false">A1545&amp;B1545</f>
        <v>5500604031</v>
      </c>
      <c r="D1545" s="13" t="n">
        <v>9028.4</v>
      </c>
    </row>
    <row r="1546" customFormat="false" ht="15.75" hidden="false" customHeight="true" outlineLevel="0" collapsed="false">
      <c r="A1546" s="2" t="s">
        <v>106</v>
      </c>
      <c r="B1546" s="2" t="s">
        <v>19</v>
      </c>
      <c r="C1546" s="1" t="str">
        <f aca="false">A1546&amp;B1546</f>
        <v>5500604040</v>
      </c>
      <c r="D1546" s="13" t="n">
        <v>361430.98</v>
      </c>
    </row>
    <row r="1547" customFormat="false" ht="15.75" hidden="false" customHeight="true" outlineLevel="0" collapsed="false">
      <c r="A1547" s="2" t="s">
        <v>106</v>
      </c>
      <c r="B1547" s="2" t="s">
        <v>32</v>
      </c>
      <c r="C1547" s="1" t="str">
        <f aca="false">A1547&amp;B1547</f>
        <v>5500607010</v>
      </c>
      <c r="D1547" s="13" t="n">
        <v>6100</v>
      </c>
    </row>
    <row r="1548" customFormat="false" ht="15.75" hidden="false" customHeight="true" outlineLevel="0" collapsed="false">
      <c r="A1548" s="2" t="s">
        <v>106</v>
      </c>
      <c r="B1548" s="2" t="s">
        <v>61</v>
      </c>
      <c r="C1548" s="1" t="str">
        <f aca="false">A1548&amp;B1548</f>
        <v>5500608000</v>
      </c>
      <c r="D1548" s="13" t="n">
        <v>229</v>
      </c>
    </row>
    <row r="1549" customFormat="false" ht="15.75" hidden="false" customHeight="true" outlineLevel="0" collapsed="false">
      <c r="A1549" s="2" t="s">
        <v>106</v>
      </c>
      <c r="B1549" s="2" t="s">
        <v>27</v>
      </c>
      <c r="C1549" s="1" t="str">
        <f aca="false">A1549&amp;B1549</f>
        <v>5500609002</v>
      </c>
      <c r="D1549" s="13" t="n">
        <v>-0.2</v>
      </c>
    </row>
    <row r="1550" customFormat="false" ht="15.75" hidden="false" customHeight="true" outlineLevel="0" collapsed="false">
      <c r="A1550" s="2" t="s">
        <v>106</v>
      </c>
      <c r="B1550" s="2" t="s">
        <v>24</v>
      </c>
      <c r="C1550" s="1" t="str">
        <f aca="false">A1550&amp;B1550</f>
        <v>5500609004</v>
      </c>
      <c r="D1550" s="13" t="n">
        <v>326.5</v>
      </c>
    </row>
    <row r="1551" customFormat="false" ht="15.75" hidden="false" customHeight="true" outlineLevel="0" collapsed="false">
      <c r="A1551" s="2" t="s">
        <v>106</v>
      </c>
      <c r="B1551" s="2" t="s">
        <v>25</v>
      </c>
      <c r="C1551" s="1" t="str">
        <f aca="false">A1551&amp;B1551</f>
        <v>5500609005</v>
      </c>
      <c r="D1551" s="13" t="n">
        <v>26456.4</v>
      </c>
    </row>
    <row r="1552" customFormat="false" ht="15.75" hidden="false" customHeight="true" outlineLevel="0" collapsed="false">
      <c r="A1552" s="2" t="s">
        <v>106</v>
      </c>
      <c r="B1552" s="2" t="s">
        <v>26</v>
      </c>
      <c r="C1552" s="1" t="str">
        <f aca="false">A1552&amp;B1552</f>
        <v>5500609006</v>
      </c>
      <c r="D1552" s="13" t="n">
        <v>133136.31</v>
      </c>
    </row>
    <row r="1553" customFormat="false" ht="15.75" hidden="false" customHeight="true" outlineLevel="0" collapsed="false">
      <c r="A1553" s="2" t="s">
        <v>106</v>
      </c>
      <c r="B1553" s="2" t="s">
        <v>80</v>
      </c>
      <c r="C1553" s="1" t="str">
        <f aca="false">A1553&amp;B1553</f>
        <v>5500609007</v>
      </c>
      <c r="D1553" s="13" t="n">
        <v>13516.43</v>
      </c>
    </row>
    <row r="1554" customFormat="false" ht="15.75" hidden="false" customHeight="true" outlineLevel="0" collapsed="false">
      <c r="A1554" s="2" t="s">
        <v>106</v>
      </c>
      <c r="B1554" s="2" t="s">
        <v>176</v>
      </c>
      <c r="C1554" s="1" t="str">
        <f aca="false">A1554&amp;B1554</f>
        <v>5500630001</v>
      </c>
      <c r="D1554" s="13" t="n">
        <v>1912.54</v>
      </c>
    </row>
    <row r="1555" customFormat="false" ht="15.75" hidden="false" customHeight="true" outlineLevel="0" collapsed="false">
      <c r="A1555" s="2" t="s">
        <v>106</v>
      </c>
      <c r="B1555" s="2" t="s">
        <v>181</v>
      </c>
      <c r="C1555" s="1" t="str">
        <f aca="false">A1555&amp;B1555</f>
        <v>5500640900</v>
      </c>
      <c r="D1555" s="13" t="n">
        <v>511898.92</v>
      </c>
    </row>
    <row r="1556" customFormat="false" ht="15.75" hidden="false" customHeight="true" outlineLevel="0" collapsed="false">
      <c r="A1556" s="2" t="s">
        <v>106</v>
      </c>
      <c r="B1556" s="2" t="s">
        <v>20</v>
      </c>
      <c r="C1556" s="1" t="str">
        <f aca="false">A1556&amp;B1556</f>
        <v>5500910001</v>
      </c>
      <c r="D1556" s="13" t="n">
        <v>0</v>
      </c>
    </row>
    <row r="1557" customFormat="false" ht="15.75" hidden="false" customHeight="true" outlineLevel="0" collapsed="false">
      <c r="A1557" s="2" t="s">
        <v>106</v>
      </c>
      <c r="B1557" s="2" t="s">
        <v>34</v>
      </c>
      <c r="C1557" s="1" t="str">
        <f aca="false">A1557&amp;B1557</f>
        <v>5500910002</v>
      </c>
      <c r="D1557" s="13" t="n">
        <v>0</v>
      </c>
    </row>
    <row r="1558" customFormat="false" ht="15.75" hidden="false" customHeight="true" outlineLevel="0" collapsed="false">
      <c r="A1558" s="2" t="s">
        <v>106</v>
      </c>
      <c r="B1558" s="2" t="s">
        <v>35</v>
      </c>
      <c r="C1558" s="1" t="str">
        <f aca="false">A1558&amp;B1558</f>
        <v>5500910004</v>
      </c>
      <c r="D1558" s="13" t="n">
        <v>0</v>
      </c>
    </row>
    <row r="1559" customFormat="false" ht="15.75" hidden="false" customHeight="true" outlineLevel="0" collapsed="false">
      <c r="A1559" s="2" t="s">
        <v>106</v>
      </c>
      <c r="B1559" s="2" t="s">
        <v>183</v>
      </c>
      <c r="C1559" s="1" t="str">
        <f aca="false">A1559&amp;B1559</f>
        <v>5500990000</v>
      </c>
      <c r="D1559" s="13" t="n">
        <v>0</v>
      </c>
    </row>
    <row r="1560" customFormat="false" ht="15.75" hidden="false" customHeight="true" outlineLevel="0" collapsed="false">
      <c r="A1560" s="2" t="s">
        <v>106</v>
      </c>
      <c r="B1560" s="2" t="s">
        <v>184</v>
      </c>
      <c r="C1560" s="1" t="str">
        <f aca="false">A1560&amp;B1560</f>
        <v>5500990002</v>
      </c>
      <c r="D1560" s="13" t="n">
        <v>0</v>
      </c>
    </row>
    <row r="1561" customFormat="false" ht="15.75" hidden="false" customHeight="true" outlineLevel="0" collapsed="false">
      <c r="A1561" s="2" t="s">
        <v>107</v>
      </c>
      <c r="B1561" s="2" t="s">
        <v>128</v>
      </c>
      <c r="C1561" s="1" t="str">
        <f aca="false">A1561&amp;B1561</f>
        <v>5510101011</v>
      </c>
      <c r="D1561" s="13" t="n">
        <v>0</v>
      </c>
    </row>
    <row r="1562" customFormat="false" ht="15.75" hidden="false" customHeight="true" outlineLevel="0" collapsed="false">
      <c r="A1562" s="2" t="s">
        <v>107</v>
      </c>
      <c r="B1562" s="2" t="s">
        <v>129</v>
      </c>
      <c r="C1562" s="1" t="str">
        <f aca="false">A1562&amp;B1562</f>
        <v>5510110098</v>
      </c>
      <c r="D1562" s="13" t="n">
        <v>294289.76</v>
      </c>
    </row>
    <row r="1563" customFormat="false" ht="15.75" hidden="false" customHeight="true" outlineLevel="0" collapsed="false">
      <c r="A1563" s="2" t="s">
        <v>107</v>
      </c>
      <c r="B1563" s="2" t="s">
        <v>311</v>
      </c>
      <c r="C1563" s="1" t="str">
        <f aca="false">A1563&amp;B1563</f>
        <v>5510111002</v>
      </c>
      <c r="D1563" s="13" t="n">
        <v>-11354883.89</v>
      </c>
    </row>
    <row r="1564" customFormat="false" ht="15.75" hidden="false" customHeight="true" outlineLevel="0" collapsed="false">
      <c r="A1564" s="2" t="s">
        <v>107</v>
      </c>
      <c r="B1564" s="2" t="s">
        <v>239</v>
      </c>
      <c r="C1564" s="1" t="str">
        <f aca="false">A1564&amp;B1564</f>
        <v>5510112000</v>
      </c>
      <c r="D1564" s="13" t="n">
        <v>0</v>
      </c>
    </row>
    <row r="1565" customFormat="false" ht="15.75" hidden="false" customHeight="true" outlineLevel="0" collapsed="false">
      <c r="A1565" s="2" t="s">
        <v>107</v>
      </c>
      <c r="B1565" s="2" t="s">
        <v>240</v>
      </c>
      <c r="C1565" s="1" t="str">
        <f aca="false">A1565&amp;B1565</f>
        <v>5510112001</v>
      </c>
      <c r="D1565" s="13" t="n">
        <v>0</v>
      </c>
    </row>
    <row r="1566" customFormat="false" ht="15.75" hidden="false" customHeight="true" outlineLevel="0" collapsed="false">
      <c r="A1566" s="2" t="s">
        <v>107</v>
      </c>
      <c r="B1566" s="2" t="s">
        <v>130</v>
      </c>
      <c r="C1566" s="1" t="str">
        <f aca="false">A1566&amp;B1566</f>
        <v>5510113000</v>
      </c>
      <c r="D1566" s="13" t="n">
        <v>25885528</v>
      </c>
    </row>
    <row r="1567" customFormat="false" ht="15.75" hidden="false" customHeight="true" outlineLevel="0" collapsed="false">
      <c r="A1567" s="2" t="s">
        <v>107</v>
      </c>
      <c r="B1567" s="2" t="s">
        <v>312</v>
      </c>
      <c r="C1567" s="1" t="str">
        <f aca="false">A1567&amp;B1567</f>
        <v>5510113090</v>
      </c>
      <c r="D1567" s="13" t="n">
        <v>32511097.97</v>
      </c>
    </row>
    <row r="1568" customFormat="false" ht="15.75" hidden="false" customHeight="true" outlineLevel="0" collapsed="false">
      <c r="A1568" s="2" t="s">
        <v>107</v>
      </c>
      <c r="B1568" s="2" t="s">
        <v>131</v>
      </c>
      <c r="C1568" s="1" t="str">
        <f aca="false">A1568&amp;B1568</f>
        <v>5510120000</v>
      </c>
      <c r="D1568" s="13" t="n">
        <v>12417545.35</v>
      </c>
    </row>
    <row r="1569" customFormat="false" ht="15.75" hidden="false" customHeight="true" outlineLevel="0" collapsed="false">
      <c r="A1569" s="2" t="s">
        <v>107</v>
      </c>
      <c r="B1569" s="2" t="s">
        <v>375</v>
      </c>
      <c r="C1569" s="1" t="str">
        <f aca="false">A1569&amp;B1569</f>
        <v>5510120010</v>
      </c>
      <c r="D1569" s="13" t="n">
        <v>-0.01</v>
      </c>
    </row>
    <row r="1570" customFormat="false" ht="15.75" hidden="false" customHeight="true" outlineLevel="0" collapsed="false">
      <c r="A1570" s="2" t="s">
        <v>107</v>
      </c>
      <c r="B1570" s="2" t="s">
        <v>132</v>
      </c>
      <c r="C1570" s="1" t="str">
        <f aca="false">A1570&amp;B1570</f>
        <v>5510120040</v>
      </c>
      <c r="D1570" s="13" t="n">
        <v>1175833.58</v>
      </c>
    </row>
    <row r="1571" customFormat="false" ht="15.75" hidden="false" customHeight="true" outlineLevel="0" collapsed="false">
      <c r="A1571" s="2" t="s">
        <v>107</v>
      </c>
      <c r="B1571" s="2" t="s">
        <v>383</v>
      </c>
      <c r="C1571" s="1" t="str">
        <f aca="false">A1571&amp;B1571</f>
        <v>5510130110</v>
      </c>
      <c r="D1571" s="13" t="n">
        <v>296913.19</v>
      </c>
    </row>
    <row r="1572" customFormat="false" ht="15.75" hidden="false" customHeight="true" outlineLevel="0" collapsed="false">
      <c r="A1572" s="2" t="s">
        <v>107</v>
      </c>
      <c r="B1572" s="2" t="s">
        <v>384</v>
      </c>
      <c r="C1572" s="1" t="str">
        <f aca="false">A1572&amp;B1572</f>
        <v>5510130111</v>
      </c>
      <c r="D1572" s="13" t="n">
        <v>0</v>
      </c>
    </row>
    <row r="1573" customFormat="false" ht="15.75" hidden="false" customHeight="true" outlineLevel="0" collapsed="false">
      <c r="A1573" s="2" t="s">
        <v>107</v>
      </c>
      <c r="B1573" s="2" t="s">
        <v>385</v>
      </c>
      <c r="C1573" s="1" t="str">
        <f aca="false">A1573&amp;B1573</f>
        <v>5510130300</v>
      </c>
      <c r="D1573" s="13" t="n">
        <v>792355.77</v>
      </c>
    </row>
    <row r="1574" customFormat="false" ht="15.75" hidden="false" customHeight="true" outlineLevel="0" collapsed="false">
      <c r="A1574" s="2" t="s">
        <v>107</v>
      </c>
      <c r="B1574" s="2" t="s">
        <v>133</v>
      </c>
      <c r="C1574" s="1" t="str">
        <f aca="false">A1574&amp;B1574</f>
        <v>5510140002</v>
      </c>
      <c r="D1574" s="13" t="n">
        <v>0</v>
      </c>
    </row>
    <row r="1575" customFormat="false" ht="15.75" hidden="false" customHeight="true" outlineLevel="0" collapsed="false">
      <c r="A1575" s="2" t="s">
        <v>107</v>
      </c>
      <c r="B1575" s="2" t="s">
        <v>134</v>
      </c>
      <c r="C1575" s="1" t="str">
        <f aca="false">A1575&amp;B1575</f>
        <v>5510160000</v>
      </c>
      <c r="D1575" s="13" t="n">
        <v>9124284.96</v>
      </c>
    </row>
    <row r="1576" customFormat="false" ht="15.75" hidden="false" customHeight="true" outlineLevel="0" collapsed="false">
      <c r="A1576" s="2" t="s">
        <v>107</v>
      </c>
      <c r="B1576" s="2" t="s">
        <v>135</v>
      </c>
      <c r="C1576" s="1" t="str">
        <f aca="false">A1576&amp;B1576</f>
        <v>5510160100</v>
      </c>
      <c r="D1576" s="13" t="n">
        <v>42966887.78</v>
      </c>
    </row>
    <row r="1577" customFormat="false" ht="15.75" hidden="false" customHeight="true" outlineLevel="0" collapsed="false">
      <c r="A1577" s="2" t="s">
        <v>107</v>
      </c>
      <c r="B1577" s="2" t="s">
        <v>136</v>
      </c>
      <c r="C1577" s="1" t="str">
        <f aca="false">A1577&amp;B1577</f>
        <v>5510160150</v>
      </c>
      <c r="D1577" s="13" t="n">
        <v>-14339871.79</v>
      </c>
    </row>
    <row r="1578" customFormat="false" ht="15.75" hidden="false" customHeight="true" outlineLevel="0" collapsed="false">
      <c r="A1578" s="2" t="s">
        <v>107</v>
      </c>
      <c r="B1578" s="2" t="s">
        <v>137</v>
      </c>
      <c r="C1578" s="1" t="str">
        <f aca="false">A1578&amp;B1578</f>
        <v>5510160200</v>
      </c>
      <c r="D1578" s="13" t="n">
        <v>892656652.41</v>
      </c>
    </row>
    <row r="1579" customFormat="false" ht="15.75" hidden="false" customHeight="true" outlineLevel="0" collapsed="false">
      <c r="A1579" s="2" t="s">
        <v>107</v>
      </c>
      <c r="B1579" s="2" t="s">
        <v>138</v>
      </c>
      <c r="C1579" s="1" t="str">
        <f aca="false">A1579&amp;B1579</f>
        <v>5510160201</v>
      </c>
      <c r="D1579" s="13" t="n">
        <v>1168404.11</v>
      </c>
    </row>
    <row r="1580" customFormat="false" ht="15.75" hidden="false" customHeight="true" outlineLevel="0" collapsed="false">
      <c r="A1580" s="2" t="s">
        <v>107</v>
      </c>
      <c r="B1580" s="2" t="s">
        <v>139</v>
      </c>
      <c r="C1580" s="1" t="str">
        <f aca="false">A1580&amp;B1580</f>
        <v>5510160250</v>
      </c>
      <c r="D1580" s="13" t="n">
        <v>-289439658.79</v>
      </c>
    </row>
    <row r="1581" customFormat="false" ht="15.75" hidden="false" customHeight="true" outlineLevel="0" collapsed="false">
      <c r="A1581" s="2" t="s">
        <v>107</v>
      </c>
      <c r="B1581" s="2" t="s">
        <v>140</v>
      </c>
      <c r="C1581" s="1" t="str">
        <f aca="false">A1581&amp;B1581</f>
        <v>5510160251</v>
      </c>
      <c r="D1581" s="13" t="n">
        <v>-1041159.66</v>
      </c>
    </row>
    <row r="1582" customFormat="false" ht="15.75" hidden="false" customHeight="true" outlineLevel="0" collapsed="false">
      <c r="A1582" s="2" t="s">
        <v>107</v>
      </c>
      <c r="B1582" s="2" t="s">
        <v>141</v>
      </c>
      <c r="C1582" s="1" t="str">
        <f aca="false">A1582&amp;B1582</f>
        <v>5510160302</v>
      </c>
      <c r="D1582" s="13" t="n">
        <v>1146974.59</v>
      </c>
    </row>
    <row r="1583" customFormat="false" ht="15.75" hidden="false" customHeight="true" outlineLevel="0" collapsed="false">
      <c r="A1583" s="2" t="s">
        <v>107</v>
      </c>
      <c r="B1583" s="2" t="s">
        <v>142</v>
      </c>
      <c r="C1583" s="1" t="str">
        <f aca="false">A1583&amp;B1583</f>
        <v>5510160352</v>
      </c>
      <c r="D1583" s="13" t="n">
        <v>-42626</v>
      </c>
    </row>
    <row r="1584" customFormat="false" ht="15.75" hidden="false" customHeight="true" outlineLevel="0" collapsed="false">
      <c r="A1584" s="2" t="s">
        <v>107</v>
      </c>
      <c r="B1584" s="2" t="s">
        <v>401</v>
      </c>
      <c r="C1584" s="1" t="str">
        <f aca="false">A1584&amp;B1584</f>
        <v>5510180110</v>
      </c>
      <c r="D1584" s="13" t="n">
        <v>1223390.59</v>
      </c>
    </row>
    <row r="1585" customFormat="false" ht="15.75" hidden="false" customHeight="true" outlineLevel="0" collapsed="false">
      <c r="A1585" s="2" t="s">
        <v>107</v>
      </c>
      <c r="B1585" s="2" t="s">
        <v>402</v>
      </c>
      <c r="C1585" s="1" t="str">
        <f aca="false">A1585&amp;B1585</f>
        <v>5510180111</v>
      </c>
      <c r="D1585" s="13" t="n">
        <v>0</v>
      </c>
    </row>
    <row r="1586" customFormat="false" ht="15.75" hidden="false" customHeight="true" outlineLevel="0" collapsed="false">
      <c r="A1586" s="2" t="s">
        <v>107</v>
      </c>
      <c r="B1586" s="2" t="s">
        <v>145</v>
      </c>
      <c r="C1586" s="1" t="str">
        <f aca="false">A1586&amp;B1586</f>
        <v>5510193000</v>
      </c>
      <c r="D1586" s="13" t="n">
        <v>63016605.17</v>
      </c>
    </row>
    <row r="1587" customFormat="false" ht="15.75" hidden="false" customHeight="true" outlineLevel="0" collapsed="false">
      <c r="A1587" s="2" t="s">
        <v>107</v>
      </c>
      <c r="B1587" s="2" t="s">
        <v>147</v>
      </c>
      <c r="C1587" s="1" t="str">
        <f aca="false">A1587&amp;B1587</f>
        <v>5510200004</v>
      </c>
      <c r="D1587" s="13" t="n">
        <v>-12895.08</v>
      </c>
    </row>
    <row r="1588" customFormat="false" ht="15.75" hidden="false" customHeight="true" outlineLevel="0" collapsed="false">
      <c r="A1588" s="2" t="s">
        <v>107</v>
      </c>
      <c r="B1588" s="2" t="s">
        <v>317</v>
      </c>
      <c r="C1588" s="1" t="str">
        <f aca="false">A1588&amp;B1588</f>
        <v>5510200006</v>
      </c>
      <c r="D1588" s="13" t="n">
        <v>11537322.12</v>
      </c>
    </row>
    <row r="1589" customFormat="false" ht="15.75" hidden="false" customHeight="true" outlineLevel="0" collapsed="false">
      <c r="A1589" s="2" t="s">
        <v>107</v>
      </c>
      <c r="B1589" s="2" t="s">
        <v>148</v>
      </c>
      <c r="C1589" s="1" t="str">
        <f aca="false">A1589&amp;B1589</f>
        <v>5510200098</v>
      </c>
      <c r="D1589" s="13" t="n">
        <v>-255847.1</v>
      </c>
    </row>
    <row r="1590" customFormat="false" ht="15.75" hidden="false" customHeight="true" outlineLevel="0" collapsed="false">
      <c r="A1590" s="2" t="s">
        <v>107</v>
      </c>
      <c r="B1590" s="2" t="s">
        <v>259</v>
      </c>
      <c r="C1590" s="1" t="str">
        <f aca="false">A1590&amp;B1590</f>
        <v>5510200200</v>
      </c>
      <c r="D1590" s="13" t="n">
        <v>-95753.18</v>
      </c>
    </row>
    <row r="1591" customFormat="false" ht="15.75" hidden="false" customHeight="true" outlineLevel="0" collapsed="false">
      <c r="A1591" s="2" t="s">
        <v>107</v>
      </c>
      <c r="B1591" s="2" t="s">
        <v>405</v>
      </c>
      <c r="C1591" s="1" t="str">
        <f aca="false">A1591&amp;B1591</f>
        <v>5510200201</v>
      </c>
      <c r="D1591" s="13" t="n">
        <v>-495788.14</v>
      </c>
    </row>
    <row r="1592" customFormat="false" ht="15.75" hidden="false" customHeight="true" outlineLevel="0" collapsed="false">
      <c r="A1592" s="2" t="s">
        <v>107</v>
      </c>
      <c r="B1592" s="2" t="s">
        <v>406</v>
      </c>
      <c r="C1592" s="1" t="str">
        <f aca="false">A1592&amp;B1592</f>
        <v>5510200202</v>
      </c>
      <c r="D1592" s="13" t="n">
        <v>-341631.73</v>
      </c>
    </row>
    <row r="1593" customFormat="false" ht="15.75" hidden="false" customHeight="true" outlineLevel="0" collapsed="false">
      <c r="A1593" s="2" t="s">
        <v>107</v>
      </c>
      <c r="B1593" s="2" t="s">
        <v>247</v>
      </c>
      <c r="C1593" s="1" t="str">
        <f aca="false">A1593&amp;B1593</f>
        <v>5510200203</v>
      </c>
      <c r="D1593" s="13" t="n">
        <v>-9164502.64</v>
      </c>
    </row>
    <row r="1594" customFormat="false" ht="15.75" hidden="false" customHeight="true" outlineLevel="0" collapsed="false">
      <c r="A1594" s="2" t="s">
        <v>107</v>
      </c>
      <c r="B1594" s="2" t="s">
        <v>248</v>
      </c>
      <c r="C1594" s="1" t="str">
        <f aca="false">A1594&amp;B1594</f>
        <v>5510200205</v>
      </c>
      <c r="D1594" s="13" t="n">
        <v>-6601.65</v>
      </c>
    </row>
    <row r="1595" customFormat="false" ht="15.75" hidden="false" customHeight="true" outlineLevel="0" collapsed="false">
      <c r="A1595" s="2" t="s">
        <v>107</v>
      </c>
      <c r="B1595" s="2" t="s">
        <v>249</v>
      </c>
      <c r="C1595" s="1" t="str">
        <f aca="false">A1595&amp;B1595</f>
        <v>5510200206</v>
      </c>
      <c r="D1595" s="13" t="n">
        <v>95.24</v>
      </c>
    </row>
    <row r="1596" customFormat="false" ht="15.75" hidden="false" customHeight="true" outlineLevel="0" collapsed="false">
      <c r="A1596" s="2" t="s">
        <v>107</v>
      </c>
      <c r="B1596" s="2" t="s">
        <v>250</v>
      </c>
      <c r="C1596" s="1" t="str">
        <f aca="false">A1596&amp;B1596</f>
        <v>5510200207</v>
      </c>
      <c r="D1596" s="13" t="n">
        <v>-4542191</v>
      </c>
    </row>
    <row r="1597" customFormat="false" ht="15.75" hidden="false" customHeight="true" outlineLevel="0" collapsed="false">
      <c r="A1597" s="2" t="s">
        <v>107</v>
      </c>
      <c r="B1597" s="2" t="s">
        <v>149</v>
      </c>
      <c r="C1597" s="1" t="str">
        <f aca="false">A1597&amp;B1597</f>
        <v>5510200208</v>
      </c>
      <c r="D1597" s="13" t="n">
        <v>-131580.49</v>
      </c>
    </row>
    <row r="1598" customFormat="false" ht="15.75" hidden="false" customHeight="true" outlineLevel="0" collapsed="false">
      <c r="A1598" s="2" t="s">
        <v>107</v>
      </c>
      <c r="B1598" s="2" t="s">
        <v>150</v>
      </c>
      <c r="C1598" s="1" t="str">
        <f aca="false">A1598&amp;B1598</f>
        <v>5510200302</v>
      </c>
      <c r="D1598" s="13" t="n">
        <v>-10973957.51</v>
      </c>
    </row>
    <row r="1599" customFormat="false" ht="15.75" hidden="false" customHeight="true" outlineLevel="0" collapsed="false">
      <c r="A1599" s="2" t="s">
        <v>107</v>
      </c>
      <c r="B1599" s="2" t="s">
        <v>521</v>
      </c>
      <c r="C1599" s="1" t="str">
        <f aca="false">A1599&amp;B1599</f>
        <v>5510201200</v>
      </c>
      <c r="D1599" s="13" t="n">
        <v>-3837205.46</v>
      </c>
    </row>
    <row r="1600" customFormat="false" ht="15.75" hidden="false" customHeight="true" outlineLevel="0" collapsed="false">
      <c r="A1600" s="2" t="s">
        <v>107</v>
      </c>
      <c r="B1600" s="2" t="s">
        <v>522</v>
      </c>
      <c r="C1600" s="1" t="str">
        <f aca="false">A1600&amp;B1600</f>
        <v>5510201201</v>
      </c>
      <c r="D1600" s="13" t="n">
        <v>-494936.58</v>
      </c>
    </row>
    <row r="1601" customFormat="false" ht="15.75" hidden="false" customHeight="true" outlineLevel="0" collapsed="false">
      <c r="A1601" s="2" t="s">
        <v>107</v>
      </c>
      <c r="B1601" s="2" t="s">
        <v>153</v>
      </c>
      <c r="C1601" s="1" t="str">
        <f aca="false">A1601&amp;B1601</f>
        <v>5510201203</v>
      </c>
      <c r="D1601" s="13" t="n">
        <v>187176.24</v>
      </c>
    </row>
    <row r="1602" customFormat="false" ht="15.75" hidden="false" customHeight="true" outlineLevel="0" collapsed="false">
      <c r="A1602" s="2" t="s">
        <v>107</v>
      </c>
      <c r="B1602" s="2" t="s">
        <v>154</v>
      </c>
      <c r="C1602" s="1" t="str">
        <f aca="false">A1602&amp;B1602</f>
        <v>5510201300</v>
      </c>
      <c r="D1602" s="13" t="n">
        <v>-531433.98</v>
      </c>
    </row>
    <row r="1603" customFormat="false" ht="15.75" hidden="false" customHeight="true" outlineLevel="0" collapsed="false">
      <c r="A1603" s="2" t="s">
        <v>107</v>
      </c>
      <c r="B1603" s="2" t="s">
        <v>155</v>
      </c>
      <c r="C1603" s="1" t="str">
        <f aca="false">A1603&amp;B1603</f>
        <v>5510201302</v>
      </c>
      <c r="D1603" s="13" t="n">
        <v>-10109847.89</v>
      </c>
    </row>
    <row r="1604" customFormat="false" ht="15.75" hidden="false" customHeight="true" outlineLevel="0" collapsed="false">
      <c r="A1604" s="2" t="s">
        <v>107</v>
      </c>
      <c r="B1604" s="2" t="s">
        <v>156</v>
      </c>
      <c r="C1604" s="1" t="str">
        <f aca="false">A1604&amp;B1604</f>
        <v>5510201400</v>
      </c>
      <c r="D1604" s="13" t="n">
        <v>-10473320.56</v>
      </c>
    </row>
    <row r="1605" customFormat="false" ht="15.75" hidden="false" customHeight="true" outlineLevel="0" collapsed="false">
      <c r="A1605" s="2" t="s">
        <v>107</v>
      </c>
      <c r="B1605" s="2" t="s">
        <v>253</v>
      </c>
      <c r="C1605" s="1" t="str">
        <f aca="false">A1605&amp;B1605</f>
        <v>5510201500</v>
      </c>
      <c r="D1605" s="13" t="n">
        <v>-1115</v>
      </c>
    </row>
    <row r="1606" customFormat="false" ht="15.75" hidden="false" customHeight="true" outlineLevel="0" collapsed="false">
      <c r="A1606" s="2" t="s">
        <v>107</v>
      </c>
      <c r="B1606" s="2" t="s">
        <v>190</v>
      </c>
      <c r="C1606" s="1" t="str">
        <f aca="false">A1606&amp;B1606</f>
        <v>5510203001</v>
      </c>
      <c r="D1606" s="13" t="n">
        <v>4713.51</v>
      </c>
    </row>
    <row r="1607" customFormat="false" ht="15.75" hidden="false" customHeight="true" outlineLevel="0" collapsed="false">
      <c r="A1607" s="2" t="s">
        <v>107</v>
      </c>
      <c r="B1607" s="2" t="s">
        <v>157</v>
      </c>
      <c r="C1607" s="1" t="str">
        <f aca="false">A1607&amp;B1607</f>
        <v>5510204020</v>
      </c>
      <c r="D1607" s="13" t="n">
        <v>-2137647.2</v>
      </c>
    </row>
    <row r="1608" customFormat="false" ht="15.75" hidden="false" customHeight="true" outlineLevel="0" collapsed="false">
      <c r="A1608" s="2" t="s">
        <v>107</v>
      </c>
      <c r="B1608" s="2" t="s">
        <v>158</v>
      </c>
      <c r="C1608" s="1" t="str">
        <f aca="false">A1608&amp;B1608</f>
        <v>5510210000</v>
      </c>
      <c r="D1608" s="13" t="n">
        <v>-5432554.25</v>
      </c>
    </row>
    <row r="1609" customFormat="false" ht="15.75" hidden="false" customHeight="true" outlineLevel="0" collapsed="false">
      <c r="A1609" s="2" t="s">
        <v>107</v>
      </c>
      <c r="B1609" s="2" t="s">
        <v>254</v>
      </c>
      <c r="C1609" s="1" t="str">
        <f aca="false">A1609&amp;B1609</f>
        <v>5510210001</v>
      </c>
      <c r="D1609" s="13" t="n">
        <v>-149666.28</v>
      </c>
    </row>
    <row r="1610" customFormat="false" ht="15.75" hidden="false" customHeight="true" outlineLevel="0" collapsed="false">
      <c r="A1610" s="2" t="s">
        <v>107</v>
      </c>
      <c r="B1610" s="2" t="s">
        <v>159</v>
      </c>
      <c r="C1610" s="1" t="str">
        <f aca="false">A1610&amp;B1610</f>
        <v>5510210002</v>
      </c>
      <c r="D1610" s="13" t="n">
        <v>-13465209.94</v>
      </c>
    </row>
    <row r="1611" customFormat="false" ht="15.75" hidden="false" customHeight="true" outlineLevel="0" collapsed="false">
      <c r="A1611" s="2" t="s">
        <v>107</v>
      </c>
      <c r="B1611" s="2" t="s">
        <v>281</v>
      </c>
      <c r="C1611" s="1" t="str">
        <f aca="false">A1611&amp;B1611</f>
        <v>5510210200</v>
      </c>
      <c r="D1611" s="13" t="n">
        <v>-7338077.93</v>
      </c>
    </row>
    <row r="1612" customFormat="false" ht="15.75" hidden="false" customHeight="true" outlineLevel="0" collapsed="false">
      <c r="A1612" s="2" t="s">
        <v>107</v>
      </c>
      <c r="B1612" s="2" t="s">
        <v>282</v>
      </c>
      <c r="C1612" s="1" t="str">
        <f aca="false">A1612&amp;B1612</f>
        <v>5510210201</v>
      </c>
      <c r="D1612" s="13" t="n">
        <v>950708</v>
      </c>
    </row>
    <row r="1613" customFormat="false" ht="15.75" hidden="false" customHeight="true" outlineLevel="0" collapsed="false">
      <c r="A1613" s="2" t="s">
        <v>107</v>
      </c>
      <c r="B1613" s="2" t="s">
        <v>160</v>
      </c>
      <c r="C1613" s="1" t="str">
        <f aca="false">A1613&amp;B1613</f>
        <v>5510220001</v>
      </c>
      <c r="D1613" s="13" t="n">
        <v>39072.54</v>
      </c>
    </row>
    <row r="1614" customFormat="false" ht="15.75" hidden="false" customHeight="true" outlineLevel="0" collapsed="false">
      <c r="A1614" s="2" t="s">
        <v>107</v>
      </c>
      <c r="B1614" s="2" t="s">
        <v>418</v>
      </c>
      <c r="C1614" s="1" t="str">
        <f aca="false">A1614&amp;B1614</f>
        <v>5510230110</v>
      </c>
      <c r="D1614" s="13" t="n">
        <v>-25048407.8</v>
      </c>
    </row>
    <row r="1615" customFormat="false" ht="15.75" hidden="false" customHeight="true" outlineLevel="0" collapsed="false">
      <c r="A1615" s="2" t="s">
        <v>107</v>
      </c>
      <c r="B1615" s="2" t="s">
        <v>419</v>
      </c>
      <c r="C1615" s="1" t="str">
        <f aca="false">A1615&amp;B1615</f>
        <v>5510230111</v>
      </c>
      <c r="D1615" s="13" t="n">
        <v>0</v>
      </c>
    </row>
    <row r="1616" customFormat="false" ht="15.75" hidden="false" customHeight="true" outlineLevel="0" collapsed="false">
      <c r="A1616" s="2" t="s">
        <v>107</v>
      </c>
      <c r="B1616" s="2" t="s">
        <v>421</v>
      </c>
      <c r="C1616" s="1" t="str">
        <f aca="false">A1616&amp;B1616</f>
        <v>5510241200</v>
      </c>
      <c r="D1616" s="13" t="n">
        <v>-25000</v>
      </c>
    </row>
    <row r="1617" customFormat="false" ht="15.75" hidden="false" customHeight="true" outlineLevel="0" collapsed="false">
      <c r="A1617" s="2" t="s">
        <v>107</v>
      </c>
      <c r="B1617" s="2" t="s">
        <v>123</v>
      </c>
      <c r="C1617" s="1" t="str">
        <f aca="false">A1617&amp;B1617</f>
        <v>5510243000</v>
      </c>
      <c r="D1617" s="13" t="n">
        <v>778502798.54</v>
      </c>
    </row>
    <row r="1618" customFormat="false" ht="15.75" hidden="false" customHeight="true" outlineLevel="0" collapsed="false">
      <c r="A1618" s="2" t="s">
        <v>107</v>
      </c>
      <c r="B1618" s="2" t="s">
        <v>124</v>
      </c>
      <c r="C1618" s="1" t="str">
        <f aca="false">A1618&amp;B1618</f>
        <v>5510243003</v>
      </c>
      <c r="D1618" s="13" t="n">
        <v>-596284905.6</v>
      </c>
    </row>
    <row r="1619" customFormat="false" ht="15.75" hidden="false" customHeight="true" outlineLevel="0" collapsed="false">
      <c r="A1619" s="2" t="s">
        <v>107</v>
      </c>
      <c r="B1619" s="2" t="s">
        <v>125</v>
      </c>
      <c r="C1619" s="1" t="str">
        <f aca="false">A1619&amp;B1619</f>
        <v>5510243005</v>
      </c>
      <c r="D1619" s="13" t="n">
        <v>-107624683</v>
      </c>
    </row>
    <row r="1620" customFormat="false" ht="15.75" hidden="false" customHeight="true" outlineLevel="0" collapsed="false">
      <c r="A1620" s="2" t="s">
        <v>107</v>
      </c>
      <c r="B1620" s="2" t="s">
        <v>161</v>
      </c>
      <c r="C1620" s="1" t="str">
        <f aca="false">A1620&amp;B1620</f>
        <v>5510243006</v>
      </c>
      <c r="D1620" s="13" t="n">
        <v>0</v>
      </c>
    </row>
    <row r="1621" customFormat="false" ht="15.75" hidden="false" customHeight="true" outlineLevel="0" collapsed="false">
      <c r="A1621" s="2" t="s">
        <v>107</v>
      </c>
      <c r="B1621" s="2" t="s">
        <v>162</v>
      </c>
      <c r="C1621" s="1" t="str">
        <f aca="false">A1621&amp;B1621</f>
        <v>5510250000</v>
      </c>
      <c r="D1621" s="13" t="n">
        <v>-824643.03</v>
      </c>
    </row>
    <row r="1622" customFormat="false" ht="15.75" hidden="false" customHeight="true" outlineLevel="0" collapsed="false">
      <c r="A1622" s="2" t="s">
        <v>107</v>
      </c>
      <c r="B1622" s="2" t="s">
        <v>163</v>
      </c>
      <c r="C1622" s="1" t="str">
        <f aca="false">A1622&amp;B1622</f>
        <v>5510250100</v>
      </c>
      <c r="D1622" s="13" t="n">
        <v>-122995299.17</v>
      </c>
    </row>
    <row r="1623" customFormat="false" ht="15.75" hidden="false" customHeight="true" outlineLevel="0" collapsed="false">
      <c r="A1623" s="2" t="s">
        <v>107</v>
      </c>
      <c r="B1623" s="2" t="s">
        <v>164</v>
      </c>
      <c r="C1623" s="1" t="str">
        <f aca="false">A1623&amp;B1623</f>
        <v>5510260003</v>
      </c>
      <c r="D1623" s="13" t="n">
        <v>-1146974.59</v>
      </c>
    </row>
    <row r="1624" customFormat="false" ht="15.75" hidden="false" customHeight="true" outlineLevel="0" collapsed="false">
      <c r="A1624" s="2" t="s">
        <v>107</v>
      </c>
      <c r="B1624" s="2" t="s">
        <v>424</v>
      </c>
      <c r="C1624" s="1" t="str">
        <f aca="false">A1624&amp;B1624</f>
        <v>5510270110</v>
      </c>
      <c r="D1624" s="13" t="n">
        <v>-31298711.32</v>
      </c>
    </row>
    <row r="1625" customFormat="false" ht="15.75" hidden="false" customHeight="true" outlineLevel="0" collapsed="false">
      <c r="A1625" s="2" t="s">
        <v>107</v>
      </c>
      <c r="B1625" s="2" t="s">
        <v>425</v>
      </c>
      <c r="C1625" s="1" t="str">
        <f aca="false">A1625&amp;B1625</f>
        <v>5510270111</v>
      </c>
      <c r="D1625" s="13" t="n">
        <v>0</v>
      </c>
    </row>
    <row r="1626" customFormat="false" ht="15.75" hidden="false" customHeight="true" outlineLevel="0" collapsed="false">
      <c r="A1626" s="2" t="s">
        <v>107</v>
      </c>
      <c r="B1626" s="2" t="s">
        <v>165</v>
      </c>
      <c r="C1626" s="1" t="str">
        <f aca="false">A1626&amp;B1626</f>
        <v>5510280000</v>
      </c>
      <c r="D1626" s="13" t="n">
        <v>-113206535.1</v>
      </c>
    </row>
    <row r="1627" customFormat="false" ht="15.75" hidden="false" customHeight="true" outlineLevel="0" collapsed="false">
      <c r="A1627" s="2" t="s">
        <v>107</v>
      </c>
      <c r="B1627" s="2" t="s">
        <v>426</v>
      </c>
      <c r="C1627" s="1" t="str">
        <f aca="false">A1627&amp;B1627</f>
        <v>5510310000</v>
      </c>
      <c r="D1627" s="13" t="n">
        <v>2482805.37</v>
      </c>
    </row>
    <row r="1628" customFormat="false" ht="15.75" hidden="false" customHeight="true" outlineLevel="0" collapsed="false">
      <c r="A1628" s="2" t="s">
        <v>107</v>
      </c>
      <c r="B1628" s="2" t="s">
        <v>198</v>
      </c>
      <c r="C1628" s="1" t="str">
        <f aca="false">A1628&amp;B1628</f>
        <v>5510310002</v>
      </c>
      <c r="D1628" s="13" t="n">
        <v>-899059.14</v>
      </c>
    </row>
    <row r="1629" customFormat="false" ht="15.75" hidden="false" customHeight="true" outlineLevel="0" collapsed="false">
      <c r="A1629" s="2" t="s">
        <v>107</v>
      </c>
      <c r="B1629" s="2" t="s">
        <v>127</v>
      </c>
      <c r="C1629" s="1" t="str">
        <f aca="false">A1629&amp;B1629</f>
        <v>5510320000</v>
      </c>
      <c r="D1629" s="13" t="n">
        <v>-455299174.97</v>
      </c>
    </row>
    <row r="1630" customFormat="false" ht="15.75" hidden="false" customHeight="true" outlineLevel="0" collapsed="false">
      <c r="A1630" s="2" t="s">
        <v>107</v>
      </c>
      <c r="B1630" s="2" t="s">
        <v>166</v>
      </c>
      <c r="C1630" s="1" t="str">
        <f aca="false">A1630&amp;B1630</f>
        <v>5510501200</v>
      </c>
      <c r="D1630" s="13" t="n">
        <v>-324615664.35</v>
      </c>
    </row>
    <row r="1631" customFormat="false" ht="15.75" hidden="false" customHeight="true" outlineLevel="0" collapsed="false">
      <c r="A1631" s="2" t="s">
        <v>107</v>
      </c>
      <c r="B1631" s="2" t="s">
        <v>167</v>
      </c>
      <c r="C1631" s="1" t="str">
        <f aca="false">A1631&amp;B1631</f>
        <v>5510501202</v>
      </c>
      <c r="D1631" s="13" t="n">
        <v>1787067.79</v>
      </c>
    </row>
    <row r="1632" customFormat="false" ht="15.75" hidden="false" customHeight="true" outlineLevel="0" collapsed="false">
      <c r="A1632" s="2" t="s">
        <v>107</v>
      </c>
      <c r="B1632" s="2" t="s">
        <v>523</v>
      </c>
      <c r="C1632" s="1" t="str">
        <f aca="false">A1632&amp;B1632</f>
        <v>5510501206</v>
      </c>
      <c r="D1632" s="13" t="n">
        <v>-833567.29</v>
      </c>
    </row>
    <row r="1633" customFormat="false" ht="15.75" hidden="false" customHeight="true" outlineLevel="0" collapsed="false">
      <c r="A1633" s="2" t="s">
        <v>107</v>
      </c>
      <c r="B1633" s="2" t="s">
        <v>454</v>
      </c>
      <c r="C1633" s="1" t="str">
        <f aca="false">A1633&amp;B1633</f>
        <v>5510501900</v>
      </c>
      <c r="D1633" s="13" t="n">
        <v>1826109.55</v>
      </c>
    </row>
    <row r="1634" customFormat="false" ht="15.75" hidden="false" customHeight="true" outlineLevel="0" collapsed="false">
      <c r="A1634" s="2" t="s">
        <v>107</v>
      </c>
      <c r="B1634" s="2" t="s">
        <v>524</v>
      </c>
      <c r="C1634" s="1" t="str">
        <f aca="false">A1634&amp;B1634</f>
        <v>5510512001</v>
      </c>
      <c r="D1634" s="13" t="n">
        <v>25680</v>
      </c>
    </row>
    <row r="1635" customFormat="false" ht="15.75" hidden="false" customHeight="true" outlineLevel="0" collapsed="false">
      <c r="A1635" s="2" t="s">
        <v>107</v>
      </c>
      <c r="B1635" s="2" t="s">
        <v>168</v>
      </c>
      <c r="C1635" s="1" t="str">
        <f aca="false">A1635&amp;B1635</f>
        <v>5510514001</v>
      </c>
      <c r="D1635" s="13" t="n">
        <v>-380835.82</v>
      </c>
    </row>
    <row r="1636" customFormat="false" ht="15.75" hidden="false" customHeight="true" outlineLevel="0" collapsed="false">
      <c r="A1636" s="2" t="s">
        <v>107</v>
      </c>
      <c r="B1636" s="2" t="s">
        <v>169</v>
      </c>
      <c r="C1636" s="1" t="str">
        <f aca="false">A1636&amp;B1636</f>
        <v>5510601107</v>
      </c>
      <c r="D1636" s="13" t="n">
        <v>599542.48</v>
      </c>
    </row>
    <row r="1637" customFormat="false" ht="15.75" hidden="false" customHeight="true" outlineLevel="0" collapsed="false">
      <c r="A1637" s="2" t="s">
        <v>107</v>
      </c>
      <c r="B1637" s="2" t="s">
        <v>170</v>
      </c>
      <c r="C1637" s="1" t="str">
        <f aca="false">A1637&amp;B1637</f>
        <v>5510601111</v>
      </c>
      <c r="D1637" s="13" t="n">
        <v>631923.97</v>
      </c>
    </row>
    <row r="1638" customFormat="false" ht="15.75" hidden="false" customHeight="true" outlineLevel="0" collapsed="false">
      <c r="A1638" s="2" t="s">
        <v>107</v>
      </c>
      <c r="B1638" s="2" t="s">
        <v>488</v>
      </c>
      <c r="C1638" s="1" t="str">
        <f aca="false">A1638&amp;B1638</f>
        <v>5510601241</v>
      </c>
      <c r="D1638" s="13" t="n">
        <v>17730657.25</v>
      </c>
    </row>
    <row r="1639" customFormat="false" ht="15.75" hidden="false" customHeight="true" outlineLevel="0" collapsed="false">
      <c r="A1639" s="2" t="s">
        <v>107</v>
      </c>
      <c r="B1639" s="2" t="s">
        <v>173</v>
      </c>
      <c r="C1639" s="1" t="str">
        <f aca="false">A1639&amp;B1639</f>
        <v>5510601300</v>
      </c>
      <c r="D1639" s="13" t="n">
        <v>1927985.23</v>
      </c>
    </row>
    <row r="1640" customFormat="false" ht="15.75" hidden="false" customHeight="true" outlineLevel="0" collapsed="false">
      <c r="A1640" s="2" t="s">
        <v>107</v>
      </c>
      <c r="B1640" s="2" t="s">
        <v>525</v>
      </c>
      <c r="C1640" s="1" t="str">
        <f aca="false">A1640&amp;B1640</f>
        <v>5510601310</v>
      </c>
      <c r="D1640" s="13" t="n">
        <v>126402978.52</v>
      </c>
    </row>
    <row r="1641" customFormat="false" ht="15.75" hidden="false" customHeight="true" outlineLevel="0" collapsed="false">
      <c r="A1641" s="2" t="s">
        <v>107</v>
      </c>
      <c r="B1641" s="2" t="s">
        <v>8</v>
      </c>
      <c r="C1641" s="1" t="str">
        <f aca="false">A1641&amp;B1641</f>
        <v>5510602000</v>
      </c>
      <c r="D1641" s="13" t="n">
        <v>12293018.27</v>
      </c>
    </row>
    <row r="1642" customFormat="false" ht="15.75" hidden="false" customHeight="true" outlineLevel="0" collapsed="false">
      <c r="A1642" s="2" t="s">
        <v>107</v>
      </c>
      <c r="B1642" s="2" t="s">
        <v>70</v>
      </c>
      <c r="C1642" s="1" t="str">
        <f aca="false">A1642&amp;B1642</f>
        <v>5510602001</v>
      </c>
      <c r="D1642" s="13" t="n">
        <v>1248867.71</v>
      </c>
    </row>
    <row r="1643" customFormat="false" ht="15.75" hidden="false" customHeight="true" outlineLevel="0" collapsed="false">
      <c r="A1643" s="2" t="s">
        <v>107</v>
      </c>
      <c r="B1643" s="2" t="s">
        <v>9</v>
      </c>
      <c r="C1643" s="1" t="str">
        <f aca="false">A1643&amp;B1643</f>
        <v>5510602003</v>
      </c>
      <c r="D1643" s="13" t="n">
        <v>1228399.89</v>
      </c>
    </row>
    <row r="1644" customFormat="false" ht="15.75" hidden="false" customHeight="true" outlineLevel="0" collapsed="false">
      <c r="A1644" s="2" t="s">
        <v>107</v>
      </c>
      <c r="B1644" s="2" t="s">
        <v>10</v>
      </c>
      <c r="C1644" s="1" t="str">
        <f aca="false">A1644&amp;B1644</f>
        <v>5510602004</v>
      </c>
      <c r="D1644" s="13" t="n">
        <v>701648.1</v>
      </c>
    </row>
    <row r="1645" customFormat="false" ht="15.75" hidden="false" customHeight="true" outlineLevel="0" collapsed="false">
      <c r="A1645" s="2" t="s">
        <v>107</v>
      </c>
      <c r="B1645" s="2" t="s">
        <v>11</v>
      </c>
      <c r="C1645" s="1" t="str">
        <f aca="false">A1645&amp;B1645</f>
        <v>5510602005</v>
      </c>
      <c r="D1645" s="13" t="n">
        <v>134465.98</v>
      </c>
    </row>
    <row r="1646" customFormat="false" ht="15.75" hidden="false" customHeight="true" outlineLevel="0" collapsed="false">
      <c r="A1646" s="2" t="s">
        <v>107</v>
      </c>
      <c r="B1646" s="2" t="s">
        <v>12</v>
      </c>
      <c r="C1646" s="1" t="str">
        <f aca="false">A1646&amp;B1646</f>
        <v>5510602010</v>
      </c>
      <c r="D1646" s="13" t="n">
        <v>2598007.31</v>
      </c>
    </row>
    <row r="1647" customFormat="false" ht="15.75" hidden="false" customHeight="true" outlineLevel="0" collapsed="false">
      <c r="A1647" s="2" t="s">
        <v>107</v>
      </c>
      <c r="B1647" s="2" t="s">
        <v>13</v>
      </c>
      <c r="C1647" s="1" t="str">
        <f aca="false">A1647&amp;B1647</f>
        <v>5510602020</v>
      </c>
      <c r="D1647" s="13" t="n">
        <v>579409.62</v>
      </c>
    </row>
    <row r="1648" customFormat="false" ht="15.75" hidden="false" customHeight="true" outlineLevel="0" collapsed="false">
      <c r="A1648" s="2" t="s">
        <v>107</v>
      </c>
      <c r="B1648" s="2" t="s">
        <v>14</v>
      </c>
      <c r="C1648" s="1" t="str">
        <f aca="false">A1648&amp;B1648</f>
        <v>5510602030</v>
      </c>
      <c r="D1648" s="13" t="n">
        <v>1134147.58</v>
      </c>
    </row>
    <row r="1649" customFormat="false" ht="15.75" hidden="false" customHeight="true" outlineLevel="0" collapsed="false">
      <c r="A1649" s="2" t="s">
        <v>107</v>
      </c>
      <c r="B1649" s="2" t="s">
        <v>42</v>
      </c>
      <c r="C1649" s="1" t="str">
        <f aca="false">A1649&amp;B1649</f>
        <v>5510602040</v>
      </c>
      <c r="D1649" s="13" t="n">
        <v>-163168.8</v>
      </c>
    </row>
    <row r="1650" customFormat="false" ht="15.75" hidden="false" customHeight="true" outlineLevel="0" collapsed="false">
      <c r="A1650" s="2" t="s">
        <v>107</v>
      </c>
      <c r="B1650" s="2" t="s">
        <v>43</v>
      </c>
      <c r="C1650" s="1" t="str">
        <f aca="false">A1650&amp;B1650</f>
        <v>5510602050</v>
      </c>
      <c r="D1650" s="13" t="n">
        <v>118398.08</v>
      </c>
    </row>
    <row r="1651" customFormat="false" ht="15.75" hidden="false" customHeight="true" outlineLevel="0" collapsed="false">
      <c r="A1651" s="2" t="s">
        <v>107</v>
      </c>
      <c r="B1651" s="2" t="s">
        <v>44</v>
      </c>
      <c r="C1651" s="1" t="str">
        <f aca="false">A1651&amp;B1651</f>
        <v>5510602060</v>
      </c>
      <c r="D1651" s="13" t="n">
        <v>23649.34</v>
      </c>
    </row>
    <row r="1652" customFormat="false" ht="15.75" hidden="false" customHeight="true" outlineLevel="0" collapsed="false">
      <c r="A1652" s="2" t="s">
        <v>107</v>
      </c>
      <c r="B1652" s="2" t="s">
        <v>15</v>
      </c>
      <c r="C1652" s="1" t="str">
        <f aca="false">A1652&amp;B1652</f>
        <v>5510602070</v>
      </c>
      <c r="D1652" s="13" t="n">
        <v>35609.12</v>
      </c>
    </row>
    <row r="1653" customFormat="false" ht="15.75" hidden="false" customHeight="true" outlineLevel="0" collapsed="false">
      <c r="A1653" s="2" t="s">
        <v>107</v>
      </c>
      <c r="B1653" s="2" t="s">
        <v>45</v>
      </c>
      <c r="C1653" s="1" t="str">
        <f aca="false">A1653&amp;B1653</f>
        <v>5510602071</v>
      </c>
      <c r="D1653" s="13" t="n">
        <v>4449.78</v>
      </c>
    </row>
    <row r="1654" customFormat="false" ht="15.75" hidden="false" customHeight="true" outlineLevel="0" collapsed="false">
      <c r="A1654" s="2" t="s">
        <v>107</v>
      </c>
      <c r="B1654" s="2" t="s">
        <v>16</v>
      </c>
      <c r="C1654" s="1" t="str">
        <f aca="false">A1654&amp;B1654</f>
        <v>5510602072</v>
      </c>
      <c r="D1654" s="13" t="n">
        <v>917533.13</v>
      </c>
    </row>
    <row r="1655" customFormat="false" ht="15.75" hidden="false" customHeight="true" outlineLevel="0" collapsed="false">
      <c r="A1655" s="2" t="s">
        <v>107</v>
      </c>
      <c r="B1655" s="2" t="s">
        <v>48</v>
      </c>
      <c r="C1655" s="1" t="str">
        <f aca="false">A1655&amp;B1655</f>
        <v>5510602080</v>
      </c>
      <c r="D1655" s="13" t="n">
        <v>-167898.01</v>
      </c>
    </row>
    <row r="1656" customFormat="false" ht="15.75" hidden="false" customHeight="true" outlineLevel="0" collapsed="false">
      <c r="A1656" s="2" t="s">
        <v>107</v>
      </c>
      <c r="B1656" s="2" t="s">
        <v>17</v>
      </c>
      <c r="C1656" s="1" t="str">
        <f aca="false">A1656&amp;B1656</f>
        <v>5510603000</v>
      </c>
      <c r="D1656" s="13" t="n">
        <v>1750263.18</v>
      </c>
    </row>
    <row r="1657" customFormat="false" ht="15.75" hidden="false" customHeight="true" outlineLevel="0" collapsed="false">
      <c r="A1657" s="2" t="s">
        <v>107</v>
      </c>
      <c r="B1657" s="2" t="s">
        <v>102</v>
      </c>
      <c r="C1657" s="1" t="str">
        <f aca="false">A1657&amp;B1657</f>
        <v>5510604001</v>
      </c>
      <c r="D1657" s="13" t="n">
        <v>0</v>
      </c>
    </row>
    <row r="1658" customFormat="false" ht="15.75" hidden="false" customHeight="true" outlineLevel="0" collapsed="false">
      <c r="A1658" s="2" t="s">
        <v>107</v>
      </c>
      <c r="B1658" s="2" t="s">
        <v>22</v>
      </c>
      <c r="C1658" s="1" t="str">
        <f aca="false">A1658&amp;B1658</f>
        <v>5510604010</v>
      </c>
      <c r="D1658" s="13" t="n">
        <v>162529.38</v>
      </c>
    </row>
    <row r="1659" customFormat="false" ht="15.75" hidden="false" customHeight="true" outlineLevel="0" collapsed="false">
      <c r="A1659" s="2" t="s">
        <v>107</v>
      </c>
      <c r="B1659" s="2" t="s">
        <v>33</v>
      </c>
      <c r="C1659" s="1" t="str">
        <f aca="false">A1659&amp;B1659</f>
        <v>5510604031</v>
      </c>
      <c r="D1659" s="13" t="n">
        <v>16980815.89</v>
      </c>
    </row>
    <row r="1660" customFormat="false" ht="15.75" hidden="false" customHeight="true" outlineLevel="0" collapsed="false">
      <c r="A1660" s="2" t="s">
        <v>107</v>
      </c>
      <c r="B1660" s="2" t="s">
        <v>19</v>
      </c>
      <c r="C1660" s="1" t="str">
        <f aca="false">A1660&amp;B1660</f>
        <v>5510604040</v>
      </c>
      <c r="D1660" s="13" t="n">
        <v>186576.72</v>
      </c>
    </row>
    <row r="1661" customFormat="false" ht="15.75" hidden="false" customHeight="true" outlineLevel="0" collapsed="false">
      <c r="A1661" s="2" t="s">
        <v>107</v>
      </c>
      <c r="B1661" s="2" t="s">
        <v>50</v>
      </c>
      <c r="C1661" s="1" t="str">
        <f aca="false">A1661&amp;B1661</f>
        <v>5510604060</v>
      </c>
      <c r="D1661" s="13" t="n">
        <v>1795386.87</v>
      </c>
    </row>
    <row r="1662" customFormat="false" ht="15.75" hidden="false" customHeight="true" outlineLevel="0" collapsed="false">
      <c r="A1662" s="2" t="s">
        <v>107</v>
      </c>
      <c r="B1662" s="2" t="s">
        <v>51</v>
      </c>
      <c r="C1662" s="1" t="str">
        <f aca="false">A1662&amp;B1662</f>
        <v>5510605000</v>
      </c>
      <c r="D1662" s="13" t="n">
        <v>1234.54</v>
      </c>
    </row>
    <row r="1663" customFormat="false" ht="15.75" hidden="false" customHeight="true" outlineLevel="0" collapsed="false">
      <c r="A1663" s="2" t="s">
        <v>107</v>
      </c>
      <c r="B1663" s="2" t="s">
        <v>53</v>
      </c>
      <c r="C1663" s="1" t="str">
        <f aca="false">A1663&amp;B1663</f>
        <v>5510605020</v>
      </c>
      <c r="D1663" s="13" t="n">
        <v>10491.17</v>
      </c>
    </row>
    <row r="1664" customFormat="false" ht="15.75" hidden="false" customHeight="true" outlineLevel="0" collapsed="false">
      <c r="A1664" s="2" t="s">
        <v>107</v>
      </c>
      <c r="B1664" s="2" t="s">
        <v>58</v>
      </c>
      <c r="C1664" s="1" t="str">
        <f aca="false">A1664&amp;B1664</f>
        <v>5510606031</v>
      </c>
      <c r="D1664" s="13" t="n">
        <v>566.58</v>
      </c>
    </row>
    <row r="1665" customFormat="false" ht="15.75" hidden="false" customHeight="true" outlineLevel="0" collapsed="false">
      <c r="A1665" s="2" t="s">
        <v>107</v>
      </c>
      <c r="B1665" s="2" t="s">
        <v>31</v>
      </c>
      <c r="C1665" s="1" t="str">
        <f aca="false">A1665&amp;B1665</f>
        <v>5510607000</v>
      </c>
      <c r="D1665" s="13" t="n">
        <v>7964304.16</v>
      </c>
    </row>
    <row r="1666" customFormat="false" ht="15.75" hidden="false" customHeight="true" outlineLevel="0" collapsed="false">
      <c r="A1666" s="2" t="s">
        <v>107</v>
      </c>
      <c r="B1666" s="2" t="s">
        <v>32</v>
      </c>
      <c r="C1666" s="1" t="str">
        <f aca="false">A1666&amp;B1666</f>
        <v>5510607010</v>
      </c>
      <c r="D1666" s="13" t="n">
        <v>361156.73</v>
      </c>
    </row>
    <row r="1667" customFormat="false" ht="15.75" hidden="false" customHeight="true" outlineLevel="0" collapsed="false">
      <c r="A1667" s="2" t="s">
        <v>107</v>
      </c>
      <c r="B1667" s="2" t="s">
        <v>75</v>
      </c>
      <c r="C1667" s="1" t="str">
        <f aca="false">A1667&amp;B1667</f>
        <v>5510607040</v>
      </c>
      <c r="D1667" s="13" t="n">
        <v>169626.67</v>
      </c>
    </row>
    <row r="1668" customFormat="false" ht="15.75" hidden="false" customHeight="true" outlineLevel="0" collapsed="false">
      <c r="A1668" s="2" t="s">
        <v>107</v>
      </c>
      <c r="B1668" s="2" t="s">
        <v>61</v>
      </c>
      <c r="C1668" s="1" t="str">
        <f aca="false">A1668&amp;B1668</f>
        <v>5510608000</v>
      </c>
      <c r="D1668" s="13" t="n">
        <v>10730.58</v>
      </c>
    </row>
    <row r="1669" customFormat="false" ht="15.75" hidden="false" customHeight="true" outlineLevel="0" collapsed="false">
      <c r="A1669" s="2" t="s">
        <v>107</v>
      </c>
      <c r="B1669" s="2" t="s">
        <v>59</v>
      </c>
      <c r="C1669" s="1" t="str">
        <f aca="false">A1669&amp;B1669</f>
        <v>5510608010</v>
      </c>
      <c r="D1669" s="13" t="n">
        <v>639.99</v>
      </c>
    </row>
    <row r="1670" customFormat="false" ht="15.75" hidden="false" customHeight="true" outlineLevel="0" collapsed="false">
      <c r="A1670" s="2" t="s">
        <v>107</v>
      </c>
      <c r="B1670" s="2" t="s">
        <v>60</v>
      </c>
      <c r="C1670" s="1" t="str">
        <f aca="false">A1670&amp;B1670</f>
        <v>5510608040</v>
      </c>
      <c r="D1670" s="13" t="n">
        <v>1243.58</v>
      </c>
    </row>
    <row r="1671" customFormat="false" ht="15.75" hidden="false" customHeight="true" outlineLevel="0" collapsed="false">
      <c r="A1671" s="2" t="s">
        <v>107</v>
      </c>
      <c r="B1671" s="2" t="s">
        <v>63</v>
      </c>
      <c r="C1671" s="1" t="str">
        <f aca="false">A1671&amp;B1671</f>
        <v>5510609000</v>
      </c>
      <c r="D1671" s="13" t="n">
        <v>56598.53</v>
      </c>
    </row>
    <row r="1672" customFormat="false" ht="15.75" hidden="false" customHeight="true" outlineLevel="0" collapsed="false">
      <c r="A1672" s="2" t="s">
        <v>107</v>
      </c>
      <c r="B1672" s="2" t="s">
        <v>27</v>
      </c>
      <c r="C1672" s="1" t="str">
        <f aca="false">A1672&amp;B1672</f>
        <v>5510609002</v>
      </c>
      <c r="D1672" s="13" t="n">
        <v>146584.76</v>
      </c>
    </row>
    <row r="1673" customFormat="false" ht="15.75" hidden="false" customHeight="true" outlineLevel="0" collapsed="false">
      <c r="A1673" s="2" t="s">
        <v>107</v>
      </c>
      <c r="B1673" s="2" t="s">
        <v>28</v>
      </c>
      <c r="C1673" s="1" t="str">
        <f aca="false">A1673&amp;B1673</f>
        <v>5510609003</v>
      </c>
      <c r="D1673" s="13" t="n">
        <v>457984.01</v>
      </c>
    </row>
    <row r="1674" customFormat="false" ht="15.75" hidden="false" customHeight="true" outlineLevel="0" collapsed="false">
      <c r="A1674" s="2" t="s">
        <v>107</v>
      </c>
      <c r="B1674" s="2" t="s">
        <v>24</v>
      </c>
      <c r="C1674" s="1" t="str">
        <f aca="false">A1674&amp;B1674</f>
        <v>5510609004</v>
      </c>
      <c r="D1674" s="13" t="n">
        <v>228400.48</v>
      </c>
    </row>
    <row r="1675" customFormat="false" ht="15.75" hidden="false" customHeight="true" outlineLevel="0" collapsed="false">
      <c r="A1675" s="2" t="s">
        <v>107</v>
      </c>
      <c r="B1675" s="2" t="s">
        <v>25</v>
      </c>
      <c r="C1675" s="1" t="str">
        <f aca="false">A1675&amp;B1675</f>
        <v>5510609005</v>
      </c>
      <c r="D1675" s="13" t="n">
        <v>656824.02</v>
      </c>
    </row>
    <row r="1676" customFormat="false" ht="15.75" hidden="false" customHeight="true" outlineLevel="0" collapsed="false">
      <c r="A1676" s="2" t="s">
        <v>107</v>
      </c>
      <c r="B1676" s="2" t="s">
        <v>26</v>
      </c>
      <c r="C1676" s="1" t="str">
        <f aca="false">A1676&amp;B1676</f>
        <v>5510609006</v>
      </c>
      <c r="D1676" s="13" t="n">
        <v>166580.11</v>
      </c>
    </row>
    <row r="1677" customFormat="false" ht="15.75" hidden="false" customHeight="true" outlineLevel="0" collapsed="false">
      <c r="A1677" s="2" t="s">
        <v>107</v>
      </c>
      <c r="B1677" s="2" t="s">
        <v>80</v>
      </c>
      <c r="C1677" s="1" t="str">
        <f aca="false">A1677&amp;B1677</f>
        <v>5510609007</v>
      </c>
      <c r="D1677" s="13" t="n">
        <v>852659.58</v>
      </c>
    </row>
    <row r="1678" customFormat="false" ht="15.75" hidden="false" customHeight="true" outlineLevel="0" collapsed="false">
      <c r="A1678" s="2" t="s">
        <v>107</v>
      </c>
      <c r="B1678" s="2" t="s">
        <v>37</v>
      </c>
      <c r="C1678" s="1" t="str">
        <f aca="false">A1678&amp;B1678</f>
        <v>5510609008</v>
      </c>
      <c r="D1678" s="13" t="n">
        <v>310</v>
      </c>
    </row>
    <row r="1679" customFormat="false" ht="15.75" hidden="false" customHeight="true" outlineLevel="0" collapsed="false">
      <c r="A1679" s="2" t="s">
        <v>107</v>
      </c>
      <c r="B1679" s="2" t="s">
        <v>29</v>
      </c>
      <c r="C1679" s="1" t="str">
        <f aca="false">A1679&amp;B1679</f>
        <v>5510609009</v>
      </c>
      <c r="D1679" s="13" t="n">
        <v>-24793.28</v>
      </c>
    </row>
    <row r="1680" customFormat="false" ht="15.75" hidden="false" customHeight="true" outlineLevel="0" collapsed="false">
      <c r="A1680" s="2" t="s">
        <v>107</v>
      </c>
      <c r="B1680" s="2" t="s">
        <v>30</v>
      </c>
      <c r="C1680" s="1" t="str">
        <f aca="false">A1680&amp;B1680</f>
        <v>5510609010</v>
      </c>
      <c r="D1680" s="13" t="n">
        <v>2078.71</v>
      </c>
    </row>
    <row r="1681" customFormat="false" ht="15.75" hidden="false" customHeight="true" outlineLevel="0" collapsed="false">
      <c r="A1681" s="2" t="s">
        <v>107</v>
      </c>
      <c r="B1681" s="2" t="s">
        <v>39</v>
      </c>
      <c r="C1681" s="1" t="str">
        <f aca="false">A1681&amp;B1681</f>
        <v>5510609012</v>
      </c>
      <c r="D1681" s="13" t="n">
        <v>-208.74</v>
      </c>
    </row>
    <row r="1682" customFormat="false" ht="15.75" hidden="false" customHeight="true" outlineLevel="0" collapsed="false">
      <c r="A1682" s="2" t="s">
        <v>107</v>
      </c>
      <c r="B1682" s="2" t="s">
        <v>83</v>
      </c>
      <c r="C1682" s="1" t="str">
        <f aca="false">A1682&amp;B1682</f>
        <v>5510610005</v>
      </c>
      <c r="D1682" s="13" t="n">
        <v>950708</v>
      </c>
    </row>
    <row r="1683" customFormat="false" ht="15.75" hidden="false" customHeight="true" outlineLevel="0" collapsed="false">
      <c r="A1683" s="2" t="s">
        <v>107</v>
      </c>
      <c r="B1683" s="2" t="s">
        <v>94</v>
      </c>
      <c r="C1683" s="1" t="str">
        <f aca="false">A1683&amp;B1683</f>
        <v>5510620000</v>
      </c>
      <c r="D1683" s="13" t="n">
        <v>2934629.56</v>
      </c>
    </row>
    <row r="1684" customFormat="false" ht="15.75" hidden="false" customHeight="true" outlineLevel="0" collapsed="false">
      <c r="A1684" s="2" t="s">
        <v>107</v>
      </c>
      <c r="B1684" s="2" t="s">
        <v>96</v>
      </c>
      <c r="C1684" s="1" t="str">
        <f aca="false">A1684&amp;B1684</f>
        <v>5510620020</v>
      </c>
      <c r="D1684" s="13" t="n">
        <v>514060.13</v>
      </c>
    </row>
    <row r="1685" customFormat="false" ht="15.75" hidden="false" customHeight="true" outlineLevel="0" collapsed="false">
      <c r="A1685" s="2" t="s">
        <v>107</v>
      </c>
      <c r="B1685" s="2" t="s">
        <v>175</v>
      </c>
      <c r="C1685" s="1" t="str">
        <f aca="false">A1685&amp;B1685</f>
        <v>5510630000</v>
      </c>
      <c r="D1685" s="13" t="n">
        <v>865481.1</v>
      </c>
    </row>
    <row r="1686" customFormat="false" ht="15.75" hidden="false" customHeight="true" outlineLevel="0" collapsed="false">
      <c r="A1686" s="2" t="s">
        <v>107</v>
      </c>
      <c r="B1686" s="2" t="s">
        <v>176</v>
      </c>
      <c r="C1686" s="1" t="str">
        <f aca="false">A1686&amp;B1686</f>
        <v>5510630001</v>
      </c>
      <c r="D1686" s="13" t="n">
        <v>30165514.01</v>
      </c>
    </row>
    <row r="1687" customFormat="false" ht="15.75" hidden="false" customHeight="true" outlineLevel="0" collapsed="false">
      <c r="A1687" s="2" t="s">
        <v>107</v>
      </c>
      <c r="B1687" s="2" t="s">
        <v>177</v>
      </c>
      <c r="C1687" s="1" t="str">
        <f aca="false">A1687&amp;B1687</f>
        <v>5510630002</v>
      </c>
      <c r="D1687" s="13" t="n">
        <v>71910.44</v>
      </c>
    </row>
    <row r="1688" customFormat="false" ht="15.75" hidden="false" customHeight="true" outlineLevel="0" collapsed="false">
      <c r="A1688" s="2" t="s">
        <v>107</v>
      </c>
      <c r="B1688" s="2" t="s">
        <v>178</v>
      </c>
      <c r="C1688" s="1" t="str">
        <f aca="false">A1688&amp;B1688</f>
        <v>5510630006</v>
      </c>
      <c r="D1688" s="13" t="n">
        <v>42626</v>
      </c>
    </row>
    <row r="1689" customFormat="false" ht="15.75" hidden="false" customHeight="true" outlineLevel="0" collapsed="false">
      <c r="A1689" s="2" t="s">
        <v>107</v>
      </c>
      <c r="B1689" s="2" t="s">
        <v>494</v>
      </c>
      <c r="C1689" s="1" t="str">
        <f aca="false">A1689&amp;B1689</f>
        <v>5510630400</v>
      </c>
      <c r="D1689" s="13" t="n">
        <v>11181.26</v>
      </c>
    </row>
    <row r="1690" customFormat="false" ht="15.75" hidden="false" customHeight="true" outlineLevel="0" collapsed="false">
      <c r="A1690" s="2" t="s">
        <v>107</v>
      </c>
      <c r="B1690" s="2" t="s">
        <v>179</v>
      </c>
      <c r="C1690" s="1" t="str">
        <f aca="false">A1690&amp;B1690</f>
        <v>5510640001</v>
      </c>
      <c r="D1690" s="13" t="n">
        <v>7560.21</v>
      </c>
    </row>
    <row r="1691" customFormat="false" ht="15.75" hidden="false" customHeight="true" outlineLevel="0" collapsed="false">
      <c r="A1691" s="2" t="s">
        <v>107</v>
      </c>
      <c r="B1691" s="2" t="s">
        <v>180</v>
      </c>
      <c r="C1691" s="1" t="str">
        <f aca="false">A1691&amp;B1691</f>
        <v>5510640100</v>
      </c>
      <c r="D1691" s="13" t="n">
        <v>2320157.59</v>
      </c>
    </row>
    <row r="1692" customFormat="false" ht="15.75" hidden="false" customHeight="true" outlineLevel="0" collapsed="false">
      <c r="A1692" s="2" t="s">
        <v>107</v>
      </c>
      <c r="B1692" s="2" t="s">
        <v>182</v>
      </c>
      <c r="C1692" s="1" t="str">
        <f aca="false">A1692&amp;B1692</f>
        <v>5510690000</v>
      </c>
      <c r="D1692" s="13" t="n">
        <v>-207</v>
      </c>
    </row>
    <row r="1693" customFormat="false" ht="15.75" hidden="false" customHeight="true" outlineLevel="0" collapsed="false">
      <c r="A1693" s="2" t="s">
        <v>107</v>
      </c>
      <c r="B1693" s="2" t="s">
        <v>183</v>
      </c>
      <c r="C1693" s="1" t="str">
        <f aca="false">A1693&amp;B1693</f>
        <v>5510990000</v>
      </c>
      <c r="D1693" s="13" t="n">
        <v>0</v>
      </c>
    </row>
    <row r="1694" customFormat="false" ht="15.75" hidden="false" customHeight="true" outlineLevel="0" collapsed="false">
      <c r="A1694" s="2" t="s">
        <v>107</v>
      </c>
      <c r="B1694" s="2" t="s">
        <v>184</v>
      </c>
      <c r="C1694" s="1" t="str">
        <f aca="false">A1694&amp;B1694</f>
        <v>5510990002</v>
      </c>
      <c r="D1694" s="13" t="n">
        <v>56871282.71</v>
      </c>
    </row>
    <row r="1695" customFormat="false" ht="15.75" hidden="false" customHeight="true" outlineLevel="0" collapsed="false">
      <c r="A1695" s="2" t="s">
        <v>526</v>
      </c>
      <c r="B1695" s="2" t="s">
        <v>189</v>
      </c>
      <c r="C1695" s="1" t="str">
        <f aca="false">A1695&amp;B1695</f>
        <v>6000203000</v>
      </c>
      <c r="D1695" s="13" t="n">
        <v>0.02</v>
      </c>
    </row>
    <row r="1696" customFormat="false" ht="15.75" hidden="false" customHeight="true" outlineLevel="0" collapsed="false">
      <c r="A1696" s="2" t="s">
        <v>526</v>
      </c>
      <c r="B1696" s="2" t="s">
        <v>157</v>
      </c>
      <c r="C1696" s="1" t="str">
        <f aca="false">A1696&amp;B1696</f>
        <v>6000204020</v>
      </c>
      <c r="D1696" s="13" t="n">
        <v>-0.01</v>
      </c>
    </row>
    <row r="1697" customFormat="false" ht="15.75" hidden="false" customHeight="true" outlineLevel="0" collapsed="false">
      <c r="A1697" s="2" t="s">
        <v>526</v>
      </c>
      <c r="B1697" s="2" t="s">
        <v>123</v>
      </c>
      <c r="C1697" s="1" t="str">
        <f aca="false">A1697&amp;B1697</f>
        <v>6000243000</v>
      </c>
      <c r="D1697" s="13" t="n">
        <v>-3553720.91</v>
      </c>
    </row>
    <row r="1698" customFormat="false" ht="15.75" hidden="false" customHeight="true" outlineLevel="0" collapsed="false">
      <c r="A1698" s="2" t="s">
        <v>526</v>
      </c>
      <c r="B1698" s="2" t="s">
        <v>124</v>
      </c>
      <c r="C1698" s="1" t="str">
        <f aca="false">A1698&amp;B1698</f>
        <v>6000243003</v>
      </c>
      <c r="D1698" s="13" t="n">
        <v>136039583.61</v>
      </c>
    </row>
    <row r="1699" customFormat="false" ht="15.75" hidden="false" customHeight="true" outlineLevel="0" collapsed="false">
      <c r="A1699" s="2" t="s">
        <v>526</v>
      </c>
      <c r="B1699" s="2" t="s">
        <v>125</v>
      </c>
      <c r="C1699" s="1" t="str">
        <f aca="false">A1699&amp;B1699</f>
        <v>6000243005</v>
      </c>
      <c r="D1699" s="13" t="n">
        <v>18316</v>
      </c>
    </row>
    <row r="1700" customFormat="false" ht="15.75" hidden="false" customHeight="true" outlineLevel="0" collapsed="false">
      <c r="A1700" s="2" t="s">
        <v>526</v>
      </c>
      <c r="B1700" s="2" t="s">
        <v>196</v>
      </c>
      <c r="C1700" s="1" t="str">
        <f aca="false">A1700&amp;B1700</f>
        <v>6000300000</v>
      </c>
      <c r="D1700" s="13" t="n">
        <v>-2.01</v>
      </c>
    </row>
    <row r="1701" customFormat="false" ht="15.75" hidden="false" customHeight="true" outlineLevel="0" collapsed="false">
      <c r="A1701" s="2" t="s">
        <v>526</v>
      </c>
      <c r="B1701" s="2" t="s">
        <v>126</v>
      </c>
      <c r="C1701" s="1" t="str">
        <f aca="false">A1701&amp;B1701</f>
        <v>6000300002</v>
      </c>
      <c r="D1701" s="13" t="n">
        <v>-13790488.62</v>
      </c>
    </row>
    <row r="1702" customFormat="false" ht="15.75" hidden="false" customHeight="true" outlineLevel="0" collapsed="false">
      <c r="A1702" s="2" t="s">
        <v>526</v>
      </c>
      <c r="B1702" s="2" t="s">
        <v>127</v>
      </c>
      <c r="C1702" s="1" t="str">
        <f aca="false">A1702&amp;B1702</f>
        <v>6000320000</v>
      </c>
      <c r="D1702" s="13" t="n">
        <v>-118713688.08</v>
      </c>
    </row>
  </sheetData>
  <autoFilter ref="A1:F170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sheetData>
    <row r="2" customFormat="false" ht="17.35" hidden="false" customHeight="false" outlineLevel="0" collapsed="false">
      <c r="B2" s="14" t="s">
        <v>527</v>
      </c>
    </row>
    <row r="3" customFormat="false" ht="15" hidden="false" customHeight="false" outlineLevel="0" collapsed="false">
      <c r="B3" s="15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2020-06-01T10:05:16Z</dcterms:created>
  <dc:creator>Tam, Muni</dc:creator>
  <dc:description/>
  <dc:language>en-US</dc:language>
  <cp:lastModifiedBy/>
  <dcterms:modified xsi:type="dcterms:W3CDTF">2026-09-15T09:44:40Z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0x010100EB9D440B5DCAB54A907461FEEB86E83C</vt:lpwstr>
  </property>
</Properties>
</file>